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fu\PycharmProjects\CalculatorTest\"/>
    </mc:Choice>
  </mc:AlternateContent>
  <xr:revisionPtr revIDLastSave="0" documentId="13_ncr:1_{DE443172-5903-45B0-83F5-091C26FF2BAC}" xr6:coauthVersionLast="47" xr6:coauthVersionMax="47" xr10:uidLastSave="{00000000-0000-0000-0000-000000000000}"/>
  <bookViews>
    <workbookView xWindow="29775" yWindow="1365" windowWidth="20085" windowHeight="16590" xr2:uid="{FD6951DF-F92C-4B19-91CB-906FFD3B874A}"/>
  </bookViews>
  <sheets>
    <sheet name="ALT Male Life Tables" sheetId="1" r:id="rId1"/>
  </sheets>
  <externalReferences>
    <externalReference r:id="rId2"/>
  </externalReferences>
  <definedNames>
    <definedName name="Ann_Ret">[1]Parameters!$B$9</definedName>
    <definedName name="Chart_Data">OFFSET('[1]Account Projection'!$A$4,Start_Age,0,MIN(110,Max_age)-Start_Age+10,12)</definedName>
    <definedName name="Chart_Data_Age">OFFSET('[1]Account Projection'!$A$4,Start_Age,0,MIN(110,Max_age)-Start_Age+10,1)</definedName>
    <definedName name="Chart_Data_Bal">OFFSET('[1]Account Projection'!$A$4,Start_Age,3,MIN(110,Max_age)-Start_Age+10,1)</definedName>
    <definedName name="Chart_Data_RA">OFFSET('[1]Account Projection'!$A$4,Start_Age,9,MIN(110,Max_age)-Start_Age+10,1)</definedName>
    <definedName name="Chart_Data_RAP">OFFSET('[1]Account Projection'!$A$4,Start_Age,10,MIN(110,Max_age)-Start_Age+10,1)</definedName>
    <definedName name="Chart_Data_RW">OFFSET('[1]Account Projection'!$A$4,Start_Age,8,MIN(110,Max_age)-Start_Age+10,1)</definedName>
    <definedName name="Exp_Inf">[1]Parameters!$B$11</definedName>
    <definedName name="Exp_Ret">[1]Parameters!$B$9</definedName>
    <definedName name="FromArray_1">_xlfn.ANCHORARRAY('[1]Chart Data'!$A$3)</definedName>
    <definedName name="Init_Balance">[1]Parameters!$B$4</definedName>
    <definedName name="Max_age">[1]Parameters!$B$13</definedName>
    <definedName name="Start_Age">[1]Parameters!$B$12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P6" i="1"/>
  <c r="P11" i="1"/>
  <c r="L66" i="1"/>
  <c r="K66" i="1"/>
  <c r="M66" i="1"/>
  <c r="L67" i="1"/>
  <c r="K67" i="1"/>
  <c r="M67" i="1"/>
  <c r="L68" i="1"/>
  <c r="K68" i="1"/>
  <c r="M68" i="1"/>
  <c r="L69" i="1"/>
  <c r="K69" i="1"/>
  <c r="M69" i="1"/>
  <c r="L70" i="1"/>
  <c r="K70" i="1"/>
  <c r="M70" i="1"/>
  <c r="L71" i="1"/>
  <c r="K71" i="1"/>
  <c r="M71" i="1"/>
  <c r="L72" i="1"/>
  <c r="K72" i="1"/>
  <c r="M72" i="1"/>
  <c r="L73" i="1"/>
  <c r="K73" i="1"/>
  <c r="M73" i="1"/>
  <c r="L74" i="1"/>
  <c r="K74" i="1"/>
  <c r="M74" i="1"/>
  <c r="L75" i="1"/>
  <c r="K75" i="1"/>
  <c r="M75" i="1"/>
  <c r="L76" i="1"/>
  <c r="K76" i="1"/>
  <c r="M76" i="1"/>
  <c r="L77" i="1"/>
  <c r="K77" i="1"/>
  <c r="M77" i="1"/>
  <c r="L78" i="1"/>
  <c r="K78" i="1"/>
  <c r="M78" i="1"/>
  <c r="L79" i="1"/>
  <c r="K79" i="1"/>
  <c r="M79" i="1"/>
  <c r="L80" i="1"/>
  <c r="K80" i="1"/>
  <c r="M80" i="1"/>
  <c r="L81" i="1"/>
  <c r="K81" i="1"/>
  <c r="M81" i="1"/>
  <c r="L82" i="1"/>
  <c r="K82" i="1"/>
  <c r="M82" i="1"/>
  <c r="L83" i="1"/>
  <c r="K83" i="1"/>
  <c r="M83" i="1"/>
  <c r="L84" i="1"/>
  <c r="K84" i="1"/>
  <c r="M84" i="1"/>
  <c r="L85" i="1"/>
  <c r="K85" i="1"/>
  <c r="M85" i="1"/>
  <c r="L86" i="1"/>
  <c r="K86" i="1"/>
  <c r="M86" i="1"/>
  <c r="L87" i="1"/>
  <c r="K87" i="1"/>
  <c r="M87" i="1"/>
  <c r="L88" i="1"/>
  <c r="K88" i="1"/>
  <c r="M88" i="1"/>
  <c r="L89" i="1"/>
  <c r="K89" i="1"/>
  <c r="M89" i="1"/>
  <c r="L90" i="1"/>
  <c r="K90" i="1"/>
  <c r="M90" i="1"/>
  <c r="L91" i="1"/>
  <c r="K91" i="1"/>
  <c r="M91" i="1"/>
  <c r="L92" i="1"/>
  <c r="K92" i="1"/>
  <c r="M92" i="1"/>
  <c r="L93" i="1"/>
  <c r="K93" i="1"/>
  <c r="M93" i="1"/>
  <c r="L94" i="1"/>
  <c r="K94" i="1"/>
  <c r="M94" i="1"/>
  <c r="L95" i="1"/>
  <c r="K95" i="1"/>
  <c r="M95" i="1"/>
  <c r="L96" i="1"/>
  <c r="K96" i="1"/>
  <c r="M96" i="1"/>
  <c r="L97" i="1"/>
  <c r="K97" i="1"/>
  <c r="M97" i="1"/>
  <c r="L98" i="1"/>
  <c r="K98" i="1"/>
  <c r="M98" i="1"/>
  <c r="L99" i="1"/>
  <c r="K99" i="1"/>
  <c r="M99" i="1"/>
  <c r="L100" i="1"/>
  <c r="K100" i="1"/>
  <c r="M100" i="1"/>
  <c r="L101" i="1"/>
  <c r="K101" i="1"/>
  <c r="M101" i="1"/>
  <c r="L102" i="1"/>
  <c r="K102" i="1"/>
  <c r="M102" i="1"/>
  <c r="L103" i="1"/>
  <c r="K103" i="1"/>
  <c r="M103" i="1"/>
  <c r="L104" i="1"/>
  <c r="K104" i="1"/>
  <c r="M104" i="1"/>
  <c r="L105" i="1"/>
  <c r="K105" i="1"/>
  <c r="M105" i="1"/>
  <c r="L106" i="1"/>
  <c r="K106" i="1"/>
  <c r="M106" i="1"/>
  <c r="L107" i="1"/>
  <c r="K107" i="1"/>
  <c r="M107" i="1"/>
  <c r="L108" i="1"/>
  <c r="K108" i="1"/>
  <c r="M108" i="1"/>
  <c r="L109" i="1"/>
  <c r="K109" i="1"/>
  <c r="M109" i="1"/>
  <c r="L110" i="1"/>
  <c r="K110" i="1"/>
  <c r="M110" i="1"/>
  <c r="L111" i="1"/>
  <c r="K111" i="1"/>
  <c r="M11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2" i="1"/>
</calcChain>
</file>

<file path=xl/sharedStrings.xml><?xml version="1.0" encoding="utf-8"?>
<sst xmlns="http://schemas.openxmlformats.org/spreadsheetml/2006/main" count="16" uniqueCount="16">
  <si>
    <t>Age</t>
  </si>
  <si>
    <r>
      <t>l</t>
    </r>
    <r>
      <rPr>
        <vertAlign val="subscript"/>
        <sz val="10"/>
        <rFont val="Arial"/>
        <family val="2"/>
      </rPr>
      <t>x</t>
    </r>
  </si>
  <si>
    <r>
      <t>d</t>
    </r>
    <r>
      <rPr>
        <vertAlign val="subscript"/>
        <sz val="10"/>
        <rFont val="Arial"/>
        <family val="2"/>
      </rPr>
      <t>x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</si>
  <si>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</si>
  <si>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</si>
  <si>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µ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</si>
  <si>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</si>
  <si>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</si>
  <si>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</si>
  <si>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v</t>
    </r>
    <r>
      <rPr>
        <i/>
        <vertAlign val="subscript"/>
        <sz val="11"/>
        <color theme="1"/>
        <rFont val="Times New Roman"/>
        <family val="1"/>
      </rPr>
      <t>x</t>
    </r>
  </si>
  <si>
    <t>i</t>
  </si>
  <si>
    <t>term</t>
  </si>
  <si>
    <t>annuity</t>
  </si>
  <si>
    <r>
      <rPr>
        <i/>
        <vertAlign val="subscript"/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>p</t>
    </r>
    <r>
      <rPr>
        <i/>
        <vertAlign val="subscript"/>
        <sz val="11"/>
        <color theme="1"/>
        <rFont val="Times New Roman"/>
        <family val="1"/>
      </rPr>
      <t>x</t>
    </r>
  </si>
  <si>
    <t>discounted value</t>
  </si>
  <si>
    <t>start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</si>
</sst>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i/>
      <sz val="11"/>
      <name val="Times New Roman"/>
      <family val="1"/>
    </font>
    <font>
      <vertAlign val="subscript"/>
      <sz val="10"/>
      <name val="Arial"/>
      <family val="2"/>
    </font>
    <font>
      <i/>
      <sz val="11"/>
      <color theme="1"/>
      <name val="Times New Roman"/>
      <family val="1"/>
    </font>
    <font>
      <vertAlign val="sub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3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4" xfId="0" applyFont="1" applyBorder="1"/>
    <xf numFmtId="164" fontId="8" fillId="0" borderId="0" xfId="1" applyNumberFormat="1" applyFont="1" applyBorder="1"/>
    <xf numFmtId="165" fontId="8" fillId="0" borderId="0" xfId="0" applyNumberFormat="1" applyFont="1"/>
    <xf numFmtId="2" fontId="8" fillId="0" borderId="0" xfId="0" applyNumberFormat="1" applyFont="1"/>
    <xf numFmtId="164" fontId="8" fillId="0" borderId="5" xfId="1" applyNumberFormat="1" applyFont="1" applyBorder="1"/>
    <xf numFmtId="0" fontId="8" fillId="0" borderId="6" xfId="0" applyFont="1" applyBorder="1"/>
    <xf numFmtId="164" fontId="8" fillId="0" borderId="7" xfId="1" applyNumberFormat="1" applyFont="1" applyBorder="1"/>
    <xf numFmtId="165" fontId="8" fillId="0" borderId="7" xfId="0" applyNumberFormat="1" applyFont="1" applyBorder="1"/>
    <xf numFmtId="2" fontId="8" fillId="0" borderId="7" xfId="0" applyNumberFormat="1" applyFont="1" applyBorder="1"/>
    <xf numFmtId="164" fontId="8" fillId="0" borderId="8" xfId="1" applyNumberFormat="1" applyFont="1" applyBorder="1"/>
    <xf numFmtId="0" fontId="6" fillId="0" borderId="0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A3CC9B49-05AE-49C5-81AC-D48BCAAF8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680bd887394fdbb/Retirement%20Project/Projection%20Model.xlsm" TargetMode="External"/><Relationship Id="rId1" Type="http://schemas.openxmlformats.org/officeDocument/2006/relationships/externalLinkPath" Target="https://d.docs.live.net/b680bd887394fdbb/Retirement%20Project/Projection%20Mod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 do"/>
      <sheetName val="Documentation"/>
      <sheetName val="Parameters"/>
      <sheetName val="Chart Balance and Income"/>
      <sheetName val="Account Projection"/>
      <sheetName val="Level Income Calculator"/>
      <sheetName val="Life Tables"/>
      <sheetName val="Minimum Withdrawals"/>
      <sheetName val="Investment Performance"/>
      <sheetName val="Chart Data"/>
      <sheetName val="Challenger Scenarios"/>
    </sheetNames>
    <sheetDataSet>
      <sheetData sheetId="0"/>
      <sheetData sheetId="1"/>
      <sheetData sheetId="2">
        <row r="4">
          <cell r="B4">
            <v>1200000</v>
          </cell>
        </row>
        <row r="9">
          <cell r="B9">
            <v>5.0625000000000003E-2</v>
          </cell>
        </row>
        <row r="11">
          <cell r="B11">
            <v>2.5000000000000001E-2</v>
          </cell>
        </row>
        <row r="12">
          <cell r="B12">
            <v>65</v>
          </cell>
        </row>
        <row r="13">
          <cell r="B13">
            <v>94</v>
          </cell>
        </row>
      </sheetData>
      <sheetData sheetId="3" refreshError="1"/>
      <sheetData sheetId="4">
        <row r="4">
          <cell r="A4">
            <v>0</v>
          </cell>
        </row>
      </sheetData>
      <sheetData sheetId="5"/>
      <sheetData sheetId="6"/>
      <sheetData sheetId="7"/>
      <sheetData sheetId="8"/>
      <sheetData sheetId="9">
        <row r="3">
          <cell r="A3">
            <v>65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4FE3-E467-43E3-9446-1EF20BA32FB5}">
  <sheetPr codeName="Sheet4"/>
  <dimension ref="A1:P111"/>
  <sheetViews>
    <sheetView tabSelected="1" workbookViewId="0">
      <selection activeCell="P22" sqref="P22"/>
    </sheetView>
  </sheetViews>
  <sheetFormatPr defaultRowHeight="15" x14ac:dyDescent="0.25"/>
  <cols>
    <col min="9" max="9" width="10" bestFit="1" customWidth="1"/>
    <col min="13" max="13" width="16.85546875" bestFit="1" customWidth="1"/>
  </cols>
  <sheetData>
    <row r="1" spans="1:16" ht="18.7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4" t="s">
        <v>7</v>
      </c>
      <c r="K1" s="15" t="s">
        <v>9</v>
      </c>
      <c r="L1" s="15" t="s">
        <v>13</v>
      </c>
      <c r="M1" s="15" t="s">
        <v>14</v>
      </c>
    </row>
    <row r="2" spans="1:16" ht="15.75" thickTop="1" x14ac:dyDescent="0.25">
      <c r="A2" s="5">
        <v>0</v>
      </c>
      <c r="B2" s="6">
        <v>100000</v>
      </c>
      <c r="C2" s="6">
        <v>339</v>
      </c>
      <c r="D2" s="7">
        <v>0.99660599999999999</v>
      </c>
      <c r="E2" s="7">
        <v>3.3939999999999999E-3</v>
      </c>
      <c r="F2" s="7">
        <v>0</v>
      </c>
      <c r="G2" s="8">
        <v>81.31</v>
      </c>
      <c r="H2" s="6">
        <v>99832</v>
      </c>
      <c r="I2" s="9">
        <v>8131434</v>
      </c>
      <c r="K2">
        <f>1/(1+$P$2)^MAX(A2-$P$4,0)</f>
        <v>1</v>
      </c>
      <c r="L2">
        <f>IF(A2&lt;$P$4+$P$3+1,1,D2)</f>
        <v>1</v>
      </c>
      <c r="M2">
        <f>K2*L2</f>
        <v>1</v>
      </c>
      <c r="O2" t="s">
        <v>10</v>
      </c>
      <c r="P2">
        <v>0.02</v>
      </c>
    </row>
    <row r="3" spans="1:16" x14ac:dyDescent="0.25">
      <c r="A3" s="5">
        <v>1</v>
      </c>
      <c r="B3" s="6">
        <v>99661</v>
      </c>
      <c r="C3" s="6">
        <v>20</v>
      </c>
      <c r="D3" s="7">
        <v>0.99980100000000005</v>
      </c>
      <c r="E3" s="7">
        <v>1.9900000000000001E-4</v>
      </c>
      <c r="F3" s="7">
        <v>2.0699999999999999E-4</v>
      </c>
      <c r="G3" s="8">
        <v>80.59</v>
      </c>
      <c r="H3" s="6">
        <v>99651</v>
      </c>
      <c r="I3" s="9">
        <v>8031602</v>
      </c>
      <c r="K3">
        <f t="shared" ref="K3:K66" si="0">1/(1+$P$2)^MAX(A3-$P$4,0)</f>
        <v>1</v>
      </c>
      <c r="L3">
        <f t="shared" ref="L3:L66" si="1">IF(A3&lt;$P$4+$P$3+1,1,D3)</f>
        <v>1</v>
      </c>
      <c r="M3">
        <f t="shared" ref="M3:M66" si="2">K3*L3</f>
        <v>1</v>
      </c>
      <c r="O3" t="s">
        <v>11</v>
      </c>
      <c r="P3">
        <v>29</v>
      </c>
    </row>
    <row r="4" spans="1:16" x14ac:dyDescent="0.25">
      <c r="A4" s="5">
        <v>2</v>
      </c>
      <c r="B4" s="6">
        <v>99641</v>
      </c>
      <c r="C4" s="6">
        <v>17</v>
      </c>
      <c r="D4" s="7">
        <v>0.99982899999999997</v>
      </c>
      <c r="E4" s="7">
        <v>1.7100000000000001E-4</v>
      </c>
      <c r="F4" s="7">
        <v>1.8799999999999999E-4</v>
      </c>
      <c r="G4" s="8">
        <v>79.61</v>
      </c>
      <c r="H4" s="6">
        <v>99632</v>
      </c>
      <c r="I4" s="9">
        <v>7931952</v>
      </c>
      <c r="K4">
        <f t="shared" si="0"/>
        <v>1</v>
      </c>
      <c r="L4">
        <f t="shared" si="1"/>
        <v>1</v>
      </c>
      <c r="M4">
        <f t="shared" si="2"/>
        <v>1</v>
      </c>
      <c r="O4" t="s">
        <v>15</v>
      </c>
      <c r="P4">
        <v>65</v>
      </c>
    </row>
    <row r="5" spans="1:16" x14ac:dyDescent="0.25">
      <c r="A5" s="5">
        <v>3</v>
      </c>
      <c r="B5" s="6">
        <v>99624</v>
      </c>
      <c r="C5" s="6">
        <v>12</v>
      </c>
      <c r="D5" s="7">
        <v>0.99987599999999999</v>
      </c>
      <c r="E5" s="7">
        <v>1.2400000000000001E-4</v>
      </c>
      <c r="F5" s="7">
        <v>1.4799999999999999E-4</v>
      </c>
      <c r="G5" s="8">
        <v>78.62</v>
      </c>
      <c r="H5" s="6">
        <v>99617</v>
      </c>
      <c r="I5" s="9">
        <v>7832320</v>
      </c>
      <c r="K5">
        <f t="shared" si="0"/>
        <v>1</v>
      </c>
      <c r="L5">
        <f t="shared" si="1"/>
        <v>1</v>
      </c>
      <c r="M5">
        <f t="shared" si="2"/>
        <v>1</v>
      </c>
    </row>
    <row r="6" spans="1:16" x14ac:dyDescent="0.25">
      <c r="A6" s="5">
        <v>4</v>
      </c>
      <c r="B6" s="6">
        <v>99611</v>
      </c>
      <c r="C6" s="6">
        <v>9</v>
      </c>
      <c r="D6" s="7">
        <v>0.99990800000000002</v>
      </c>
      <c r="E6" s="7">
        <v>9.2E-5</v>
      </c>
      <c r="F6" s="7">
        <v>1.05E-4</v>
      </c>
      <c r="G6" s="8">
        <v>77.63</v>
      </c>
      <c r="H6" s="6">
        <v>99607</v>
      </c>
      <c r="I6" s="9">
        <v>7732703</v>
      </c>
      <c r="K6">
        <f t="shared" si="0"/>
        <v>1</v>
      </c>
      <c r="L6">
        <f t="shared" si="1"/>
        <v>1</v>
      </c>
      <c r="M6">
        <f t="shared" si="2"/>
        <v>1</v>
      </c>
      <c r="O6" t="s">
        <v>12</v>
      </c>
      <c r="P6">
        <f ca="1">SUM(INDIRECT("$M"&amp;P4+1&amp;":$M111"))</f>
        <v>28.632530464580601</v>
      </c>
    </row>
    <row r="7" spans="1:16" x14ac:dyDescent="0.25">
      <c r="A7" s="5">
        <v>5</v>
      </c>
      <c r="B7" s="6">
        <v>99602</v>
      </c>
      <c r="C7" s="6">
        <v>8</v>
      </c>
      <c r="D7" s="7">
        <v>0.99992199999999998</v>
      </c>
      <c r="E7" s="7">
        <v>7.7999999999999999E-5</v>
      </c>
      <c r="F7" s="7">
        <v>8.2999999999999998E-5</v>
      </c>
      <c r="G7" s="8">
        <v>76.64</v>
      </c>
      <c r="H7" s="6">
        <v>99598</v>
      </c>
      <c r="I7" s="9">
        <v>7633096</v>
      </c>
      <c r="K7">
        <f t="shared" si="0"/>
        <v>1</v>
      </c>
      <c r="L7">
        <f t="shared" si="1"/>
        <v>1</v>
      </c>
      <c r="M7">
        <f t="shared" si="2"/>
        <v>1</v>
      </c>
    </row>
    <row r="8" spans="1:16" x14ac:dyDescent="0.25">
      <c r="A8" s="5">
        <v>6</v>
      </c>
      <c r="B8" s="6">
        <v>99594</v>
      </c>
      <c r="C8" s="6">
        <v>7</v>
      </c>
      <c r="D8" s="7">
        <v>0.99992599999999998</v>
      </c>
      <c r="E8" s="7">
        <v>7.3999999999999996E-5</v>
      </c>
      <c r="F8" s="7">
        <v>7.4999999999999993E-5</v>
      </c>
      <c r="G8" s="8">
        <v>75.64</v>
      </c>
      <c r="H8" s="6">
        <v>99591</v>
      </c>
      <c r="I8" s="9">
        <v>7533498</v>
      </c>
      <c r="K8">
        <f t="shared" si="0"/>
        <v>1</v>
      </c>
      <c r="L8">
        <f t="shared" si="1"/>
        <v>1</v>
      </c>
      <c r="M8">
        <f t="shared" si="2"/>
        <v>1</v>
      </c>
    </row>
    <row r="9" spans="1:16" x14ac:dyDescent="0.25">
      <c r="A9" s="5">
        <v>7</v>
      </c>
      <c r="B9" s="6">
        <v>99587</v>
      </c>
      <c r="C9" s="6">
        <v>7</v>
      </c>
      <c r="D9" s="7">
        <v>0.99992599999999998</v>
      </c>
      <c r="E9" s="7">
        <v>7.3999999999999996E-5</v>
      </c>
      <c r="F9" s="7">
        <v>7.3999999999999996E-5</v>
      </c>
      <c r="G9" s="8">
        <v>74.650000000000006</v>
      </c>
      <c r="H9" s="6">
        <v>99583</v>
      </c>
      <c r="I9" s="9">
        <v>7433907</v>
      </c>
      <c r="K9">
        <f t="shared" si="0"/>
        <v>1</v>
      </c>
      <c r="L9">
        <f t="shared" si="1"/>
        <v>1</v>
      </c>
      <c r="M9">
        <f t="shared" si="2"/>
        <v>1</v>
      </c>
      <c r="P9">
        <v>28.165179999999999</v>
      </c>
    </row>
    <row r="10" spans="1:16" x14ac:dyDescent="0.25">
      <c r="A10" s="5">
        <v>8</v>
      </c>
      <c r="B10" s="6">
        <v>99580</v>
      </c>
      <c r="C10" s="6">
        <v>7</v>
      </c>
      <c r="D10" s="7">
        <v>0.99992599999999998</v>
      </c>
      <c r="E10" s="7">
        <v>7.3999999999999996E-5</v>
      </c>
      <c r="F10" s="7">
        <v>7.3999999999999996E-5</v>
      </c>
      <c r="G10" s="8">
        <v>73.650000000000006</v>
      </c>
      <c r="H10" s="6">
        <v>99576</v>
      </c>
      <c r="I10" s="9">
        <v>7334324</v>
      </c>
      <c r="K10">
        <f t="shared" si="0"/>
        <v>1</v>
      </c>
      <c r="L10">
        <f t="shared" si="1"/>
        <v>1</v>
      </c>
      <c r="M10">
        <f t="shared" si="2"/>
        <v>1</v>
      </c>
    </row>
    <row r="11" spans="1:16" x14ac:dyDescent="0.25">
      <c r="A11" s="5">
        <v>9</v>
      </c>
      <c r="B11" s="6">
        <v>99572</v>
      </c>
      <c r="C11" s="6">
        <v>7</v>
      </c>
      <c r="D11" s="7">
        <v>0.99992700000000001</v>
      </c>
      <c r="E11" s="7">
        <v>7.2999999999999999E-5</v>
      </c>
      <c r="F11" s="7">
        <v>7.2999999999999999E-5</v>
      </c>
      <c r="G11" s="8">
        <v>72.66</v>
      </c>
      <c r="H11" s="6">
        <v>99569</v>
      </c>
      <c r="I11" s="9">
        <v>7234748</v>
      </c>
      <c r="K11">
        <f t="shared" si="0"/>
        <v>1</v>
      </c>
      <c r="L11">
        <f t="shared" si="1"/>
        <v>1</v>
      </c>
      <c r="M11">
        <f t="shared" si="2"/>
        <v>1</v>
      </c>
      <c r="P11">
        <f ca="1">P9/P6</f>
        <v>0.98367764018766246</v>
      </c>
    </row>
    <row r="12" spans="1:16" x14ac:dyDescent="0.25">
      <c r="A12" s="5">
        <v>10</v>
      </c>
      <c r="B12" s="6">
        <v>99565</v>
      </c>
      <c r="C12" s="6">
        <v>7</v>
      </c>
      <c r="D12" s="7">
        <v>0.99992499999999995</v>
      </c>
      <c r="E12" s="7">
        <v>7.4999999999999993E-5</v>
      </c>
      <c r="F12" s="7">
        <v>7.2999999999999999E-5</v>
      </c>
      <c r="G12" s="8">
        <v>71.66</v>
      </c>
      <c r="H12" s="6">
        <v>99561</v>
      </c>
      <c r="I12" s="9">
        <v>7135179</v>
      </c>
      <c r="K12">
        <f t="shared" si="0"/>
        <v>1</v>
      </c>
      <c r="L12">
        <f t="shared" si="1"/>
        <v>1</v>
      </c>
      <c r="M12">
        <f t="shared" si="2"/>
        <v>1</v>
      </c>
    </row>
    <row r="13" spans="1:16" x14ac:dyDescent="0.25">
      <c r="A13" s="5">
        <v>11</v>
      </c>
      <c r="B13" s="6">
        <v>99558</v>
      </c>
      <c r="C13" s="6">
        <v>8</v>
      </c>
      <c r="D13" s="7">
        <v>0.99991799999999997</v>
      </c>
      <c r="E13" s="7">
        <v>8.2000000000000001E-5</v>
      </c>
      <c r="F13" s="7">
        <v>7.7999999999999999E-5</v>
      </c>
      <c r="G13" s="8">
        <v>70.67</v>
      </c>
      <c r="H13" s="6">
        <v>99554</v>
      </c>
      <c r="I13" s="9">
        <v>7035618</v>
      </c>
      <c r="K13">
        <f t="shared" si="0"/>
        <v>1</v>
      </c>
      <c r="L13">
        <f t="shared" si="1"/>
        <v>1</v>
      </c>
      <c r="M13">
        <f t="shared" si="2"/>
        <v>1</v>
      </c>
    </row>
    <row r="14" spans="1:16" x14ac:dyDescent="0.25">
      <c r="A14" s="5">
        <v>12</v>
      </c>
      <c r="B14" s="6">
        <v>99549</v>
      </c>
      <c r="C14" s="6">
        <v>10</v>
      </c>
      <c r="D14" s="7">
        <v>0.99990400000000002</v>
      </c>
      <c r="E14" s="7">
        <v>9.6000000000000002E-5</v>
      </c>
      <c r="F14" s="7">
        <v>8.7999999999999998E-5</v>
      </c>
      <c r="G14" s="8">
        <v>69.67</v>
      </c>
      <c r="H14" s="6">
        <v>99545</v>
      </c>
      <c r="I14" s="9">
        <v>6936064</v>
      </c>
      <c r="K14">
        <f t="shared" si="0"/>
        <v>1</v>
      </c>
      <c r="L14">
        <f t="shared" si="1"/>
        <v>1</v>
      </c>
      <c r="M14">
        <f t="shared" si="2"/>
        <v>1</v>
      </c>
    </row>
    <row r="15" spans="1:16" x14ac:dyDescent="0.25">
      <c r="A15" s="5">
        <v>13</v>
      </c>
      <c r="B15" s="6">
        <v>99540</v>
      </c>
      <c r="C15" s="6">
        <v>12</v>
      </c>
      <c r="D15" s="7">
        <v>0.99987899999999996</v>
      </c>
      <c r="E15" s="7">
        <v>1.21E-4</v>
      </c>
      <c r="F15" s="7">
        <v>1.07E-4</v>
      </c>
      <c r="G15" s="8">
        <v>68.680000000000007</v>
      </c>
      <c r="H15" s="6">
        <v>99534</v>
      </c>
      <c r="I15" s="9">
        <v>6836519</v>
      </c>
      <c r="K15">
        <f t="shared" si="0"/>
        <v>1</v>
      </c>
      <c r="L15">
        <f t="shared" si="1"/>
        <v>1</v>
      </c>
      <c r="M15">
        <f t="shared" si="2"/>
        <v>1</v>
      </c>
    </row>
    <row r="16" spans="1:16" x14ac:dyDescent="0.25">
      <c r="A16" s="5">
        <v>14</v>
      </c>
      <c r="B16" s="6">
        <v>99528</v>
      </c>
      <c r="C16" s="6">
        <v>16</v>
      </c>
      <c r="D16" s="7">
        <v>0.99984099999999998</v>
      </c>
      <c r="E16" s="7">
        <v>1.5899999999999999E-4</v>
      </c>
      <c r="F16" s="7">
        <v>1.37E-4</v>
      </c>
      <c r="G16" s="8">
        <v>67.69</v>
      </c>
      <c r="H16" s="6">
        <v>99520</v>
      </c>
      <c r="I16" s="9">
        <v>6736985</v>
      </c>
      <c r="K16">
        <f t="shared" si="0"/>
        <v>1</v>
      </c>
      <c r="L16">
        <f t="shared" si="1"/>
        <v>1</v>
      </c>
      <c r="M16">
        <f t="shared" si="2"/>
        <v>1</v>
      </c>
    </row>
    <row r="17" spans="1:16" x14ac:dyDescent="0.25">
      <c r="A17" s="5">
        <v>15</v>
      </c>
      <c r="B17" s="6">
        <v>99512</v>
      </c>
      <c r="C17" s="6">
        <v>22</v>
      </c>
      <c r="D17" s="7">
        <v>0.99978</v>
      </c>
      <c r="E17" s="7">
        <v>2.2000000000000001E-4</v>
      </c>
      <c r="F17" s="7">
        <v>1.84E-4</v>
      </c>
      <c r="G17" s="8">
        <v>66.7</v>
      </c>
      <c r="H17" s="6">
        <v>99502</v>
      </c>
      <c r="I17" s="9">
        <v>6637465</v>
      </c>
      <c r="K17">
        <f t="shared" si="0"/>
        <v>1</v>
      </c>
      <c r="L17">
        <f t="shared" si="1"/>
        <v>1</v>
      </c>
      <c r="M17">
        <f t="shared" si="2"/>
        <v>1</v>
      </c>
    </row>
    <row r="18" spans="1:16" x14ac:dyDescent="0.25">
      <c r="A18" s="5">
        <v>16</v>
      </c>
      <c r="B18" s="6">
        <v>99490</v>
      </c>
      <c r="C18" s="6">
        <v>32</v>
      </c>
      <c r="D18" s="7">
        <v>0.99967399999999995</v>
      </c>
      <c r="E18" s="7">
        <v>3.2600000000000001E-4</v>
      </c>
      <c r="F18" s="7">
        <v>2.6899999999999998E-4</v>
      </c>
      <c r="G18" s="8">
        <v>65.709999999999994</v>
      </c>
      <c r="H18" s="6">
        <v>99475</v>
      </c>
      <c r="I18" s="9">
        <v>6537963</v>
      </c>
      <c r="K18">
        <f t="shared" si="0"/>
        <v>1</v>
      </c>
      <c r="L18">
        <f t="shared" si="1"/>
        <v>1</v>
      </c>
      <c r="M18">
        <f t="shared" si="2"/>
        <v>1</v>
      </c>
    </row>
    <row r="19" spans="1:16" x14ac:dyDescent="0.25">
      <c r="A19" s="5">
        <v>17</v>
      </c>
      <c r="B19" s="6">
        <v>99458</v>
      </c>
      <c r="C19" s="6">
        <v>44</v>
      </c>
      <c r="D19" s="7">
        <v>0.99956199999999995</v>
      </c>
      <c r="E19" s="7">
        <v>4.3800000000000002E-4</v>
      </c>
      <c r="F19" s="7">
        <v>3.8499999999999998E-4</v>
      </c>
      <c r="G19" s="8">
        <v>64.739999999999995</v>
      </c>
      <c r="H19" s="6">
        <v>99437</v>
      </c>
      <c r="I19" s="9">
        <v>6438488</v>
      </c>
      <c r="K19">
        <f t="shared" si="0"/>
        <v>1</v>
      </c>
      <c r="L19">
        <f t="shared" si="1"/>
        <v>1</v>
      </c>
      <c r="M19">
        <f t="shared" si="2"/>
        <v>1</v>
      </c>
    </row>
    <row r="20" spans="1:16" x14ac:dyDescent="0.25">
      <c r="A20" s="5">
        <v>18</v>
      </c>
      <c r="B20" s="6">
        <v>99414</v>
      </c>
      <c r="C20" s="6">
        <v>51</v>
      </c>
      <c r="D20" s="7">
        <v>0.99949200000000005</v>
      </c>
      <c r="E20" s="7">
        <v>5.0799999999999999E-4</v>
      </c>
      <c r="F20" s="7">
        <v>4.8000000000000001E-4</v>
      </c>
      <c r="G20" s="8">
        <v>63.76</v>
      </c>
      <c r="H20" s="6">
        <v>99389</v>
      </c>
      <c r="I20" s="9">
        <v>6339052</v>
      </c>
      <c r="K20">
        <f t="shared" si="0"/>
        <v>1</v>
      </c>
      <c r="L20">
        <f t="shared" si="1"/>
        <v>1</v>
      </c>
      <c r="M20">
        <f t="shared" si="2"/>
        <v>1</v>
      </c>
    </row>
    <row r="21" spans="1:16" x14ac:dyDescent="0.25">
      <c r="A21" s="5">
        <v>19</v>
      </c>
      <c r="B21" s="6">
        <v>99364</v>
      </c>
      <c r="C21" s="6">
        <v>54</v>
      </c>
      <c r="D21" s="7">
        <v>0.99945799999999996</v>
      </c>
      <c r="E21" s="7">
        <v>5.4199999999999995E-4</v>
      </c>
      <c r="F21" s="7">
        <v>5.2999999999999998E-4</v>
      </c>
      <c r="G21" s="8">
        <v>62.8</v>
      </c>
      <c r="H21" s="6">
        <v>99337</v>
      </c>
      <c r="I21" s="9">
        <v>6239662</v>
      </c>
      <c r="K21">
        <f t="shared" si="0"/>
        <v>1</v>
      </c>
      <c r="L21">
        <f t="shared" si="1"/>
        <v>1</v>
      </c>
      <c r="M21">
        <f t="shared" si="2"/>
        <v>1</v>
      </c>
    </row>
    <row r="22" spans="1:16" x14ac:dyDescent="0.25">
      <c r="A22" s="5">
        <v>20</v>
      </c>
      <c r="B22" s="6">
        <v>99310</v>
      </c>
      <c r="C22" s="6">
        <v>56</v>
      </c>
      <c r="D22" s="7">
        <v>0.99944100000000002</v>
      </c>
      <c r="E22" s="7">
        <v>5.5900000000000004E-4</v>
      </c>
      <c r="F22" s="7">
        <v>5.5199999999999997E-4</v>
      </c>
      <c r="G22" s="8">
        <v>61.83</v>
      </c>
      <c r="H22" s="6">
        <v>99282</v>
      </c>
      <c r="I22" s="9">
        <v>6140325</v>
      </c>
      <c r="K22">
        <f t="shared" si="0"/>
        <v>1</v>
      </c>
      <c r="L22">
        <f t="shared" si="1"/>
        <v>1</v>
      </c>
      <c r="M22">
        <f t="shared" si="2"/>
        <v>1</v>
      </c>
      <c r="P22">
        <f>((1-0.077)/1.041)</f>
        <v>0.88664745437079739</v>
      </c>
    </row>
    <row r="23" spans="1:16" x14ac:dyDescent="0.25">
      <c r="A23" s="5">
        <v>21</v>
      </c>
      <c r="B23" s="6">
        <v>99254</v>
      </c>
      <c r="C23" s="6">
        <v>57</v>
      </c>
      <c r="D23" s="7">
        <v>0.99942500000000001</v>
      </c>
      <c r="E23" s="7">
        <v>5.7499999999999999E-4</v>
      </c>
      <c r="F23" s="7">
        <v>5.6700000000000001E-4</v>
      </c>
      <c r="G23" s="8">
        <v>60.86</v>
      </c>
      <c r="H23" s="6">
        <v>99226</v>
      </c>
      <c r="I23" s="9">
        <v>6041043</v>
      </c>
      <c r="K23">
        <f t="shared" si="0"/>
        <v>1</v>
      </c>
      <c r="L23">
        <f t="shared" si="1"/>
        <v>1</v>
      </c>
      <c r="M23">
        <f t="shared" si="2"/>
        <v>1</v>
      </c>
    </row>
    <row r="24" spans="1:16" x14ac:dyDescent="0.25">
      <c r="A24" s="5">
        <v>22</v>
      </c>
      <c r="B24" s="6">
        <v>99197</v>
      </c>
      <c r="C24" s="6">
        <v>59</v>
      </c>
      <c r="D24" s="7">
        <v>0.99940799999999996</v>
      </c>
      <c r="E24" s="7">
        <v>5.9199999999999997E-4</v>
      </c>
      <c r="F24" s="7">
        <v>5.8399999999999999E-4</v>
      </c>
      <c r="G24" s="8">
        <v>59.9</v>
      </c>
      <c r="H24" s="6">
        <v>99168</v>
      </c>
      <c r="I24" s="9">
        <v>5941817</v>
      </c>
      <c r="K24">
        <f t="shared" si="0"/>
        <v>1</v>
      </c>
      <c r="L24">
        <f t="shared" si="1"/>
        <v>1</v>
      </c>
      <c r="M24">
        <f t="shared" si="2"/>
        <v>1</v>
      </c>
    </row>
    <row r="25" spans="1:16" x14ac:dyDescent="0.25">
      <c r="A25" s="5">
        <v>23</v>
      </c>
      <c r="B25" s="6">
        <v>99138</v>
      </c>
      <c r="C25" s="6">
        <v>60</v>
      </c>
      <c r="D25" s="7">
        <v>0.99939</v>
      </c>
      <c r="E25" s="7">
        <v>6.0999999999999997E-4</v>
      </c>
      <c r="F25" s="7">
        <v>6.0099999999999997E-4</v>
      </c>
      <c r="G25" s="8">
        <v>58.93</v>
      </c>
      <c r="H25" s="6">
        <v>99108</v>
      </c>
      <c r="I25" s="9">
        <v>5842649</v>
      </c>
      <c r="K25">
        <f t="shared" si="0"/>
        <v>1</v>
      </c>
      <c r="L25">
        <f t="shared" si="1"/>
        <v>1</v>
      </c>
      <c r="M25">
        <f t="shared" si="2"/>
        <v>1</v>
      </c>
    </row>
    <row r="26" spans="1:16" x14ac:dyDescent="0.25">
      <c r="A26" s="5">
        <v>24</v>
      </c>
      <c r="B26" s="6">
        <v>99078</v>
      </c>
      <c r="C26" s="6">
        <v>62</v>
      </c>
      <c r="D26" s="7">
        <v>0.99937200000000004</v>
      </c>
      <c r="E26" s="7">
        <v>6.2799999999999998E-4</v>
      </c>
      <c r="F26" s="7">
        <v>6.1899999999999998E-4</v>
      </c>
      <c r="G26" s="8">
        <v>57.97</v>
      </c>
      <c r="H26" s="6">
        <v>99047</v>
      </c>
      <c r="I26" s="9">
        <v>5743541</v>
      </c>
      <c r="K26">
        <f t="shared" si="0"/>
        <v>1</v>
      </c>
      <c r="L26">
        <f t="shared" si="1"/>
        <v>1</v>
      </c>
      <c r="M26">
        <f t="shared" si="2"/>
        <v>1</v>
      </c>
    </row>
    <row r="27" spans="1:16" x14ac:dyDescent="0.25">
      <c r="A27" s="5">
        <v>25</v>
      </c>
      <c r="B27" s="6">
        <v>99016</v>
      </c>
      <c r="C27" s="6">
        <v>64</v>
      </c>
      <c r="D27" s="7">
        <v>0.99935200000000002</v>
      </c>
      <c r="E27" s="7">
        <v>6.4800000000000003E-4</v>
      </c>
      <c r="F27" s="7">
        <v>6.38E-4</v>
      </c>
      <c r="G27" s="8">
        <v>57.01</v>
      </c>
      <c r="H27" s="6">
        <v>98984</v>
      </c>
      <c r="I27" s="9">
        <v>5644494</v>
      </c>
      <c r="K27">
        <f t="shared" si="0"/>
        <v>1</v>
      </c>
      <c r="L27">
        <f t="shared" si="1"/>
        <v>1</v>
      </c>
      <c r="M27">
        <f t="shared" si="2"/>
        <v>1</v>
      </c>
    </row>
    <row r="28" spans="1:16" x14ac:dyDescent="0.25">
      <c r="A28" s="5">
        <v>26</v>
      </c>
      <c r="B28" s="6">
        <v>98952</v>
      </c>
      <c r="C28" s="6">
        <v>66</v>
      </c>
      <c r="D28" s="7">
        <v>0.999332</v>
      </c>
      <c r="E28" s="7">
        <v>6.6799999999999997E-4</v>
      </c>
      <c r="F28" s="7">
        <v>6.5799999999999995E-4</v>
      </c>
      <c r="G28" s="8">
        <v>56.04</v>
      </c>
      <c r="H28" s="6">
        <v>98919</v>
      </c>
      <c r="I28" s="9">
        <v>5545510</v>
      </c>
      <c r="K28">
        <f t="shared" si="0"/>
        <v>1</v>
      </c>
      <c r="L28">
        <f t="shared" si="1"/>
        <v>1</v>
      </c>
      <c r="M28">
        <f t="shared" si="2"/>
        <v>1</v>
      </c>
    </row>
    <row r="29" spans="1:16" x14ac:dyDescent="0.25">
      <c r="A29" s="5">
        <v>27</v>
      </c>
      <c r="B29" s="6">
        <v>98885</v>
      </c>
      <c r="C29" s="6">
        <v>68</v>
      </c>
      <c r="D29" s="7">
        <v>0.99931099999999995</v>
      </c>
      <c r="E29" s="7">
        <v>6.8900000000000005E-4</v>
      </c>
      <c r="F29" s="7">
        <v>6.7900000000000002E-4</v>
      </c>
      <c r="G29" s="8">
        <v>55.08</v>
      </c>
      <c r="H29" s="6">
        <v>98852</v>
      </c>
      <c r="I29" s="9">
        <v>5446592</v>
      </c>
      <c r="K29">
        <f t="shared" si="0"/>
        <v>1</v>
      </c>
      <c r="L29">
        <f t="shared" si="1"/>
        <v>1</v>
      </c>
      <c r="M29">
        <f t="shared" si="2"/>
        <v>1</v>
      </c>
    </row>
    <row r="30" spans="1:16" x14ac:dyDescent="0.25">
      <c r="A30" s="5">
        <v>28</v>
      </c>
      <c r="B30" s="6">
        <v>98817</v>
      </c>
      <c r="C30" s="6">
        <v>70</v>
      </c>
      <c r="D30" s="7">
        <v>0.99929000000000001</v>
      </c>
      <c r="E30" s="7">
        <v>7.1000000000000002E-4</v>
      </c>
      <c r="F30" s="7">
        <v>6.9999999999999999E-4</v>
      </c>
      <c r="G30" s="8">
        <v>54.12</v>
      </c>
      <c r="H30" s="6">
        <v>98782</v>
      </c>
      <c r="I30" s="9">
        <v>5347740</v>
      </c>
      <c r="K30">
        <f t="shared" si="0"/>
        <v>1</v>
      </c>
      <c r="L30">
        <f t="shared" si="1"/>
        <v>1</v>
      </c>
      <c r="M30">
        <f t="shared" si="2"/>
        <v>1</v>
      </c>
    </row>
    <row r="31" spans="1:16" x14ac:dyDescent="0.25">
      <c r="A31" s="5">
        <v>29</v>
      </c>
      <c r="B31" s="6">
        <v>98747</v>
      </c>
      <c r="C31" s="6">
        <v>72</v>
      </c>
      <c r="D31" s="7">
        <v>0.99926800000000005</v>
      </c>
      <c r="E31" s="7">
        <v>7.3200000000000001E-4</v>
      </c>
      <c r="F31" s="7">
        <v>7.2099999999999996E-4</v>
      </c>
      <c r="G31" s="8">
        <v>53.16</v>
      </c>
      <c r="H31" s="6">
        <v>98711</v>
      </c>
      <c r="I31" s="9">
        <v>5248958</v>
      </c>
      <c r="K31">
        <f t="shared" si="0"/>
        <v>1</v>
      </c>
      <c r="L31">
        <f t="shared" si="1"/>
        <v>1</v>
      </c>
      <c r="M31">
        <f t="shared" si="2"/>
        <v>1</v>
      </c>
    </row>
    <row r="32" spans="1:16" x14ac:dyDescent="0.25">
      <c r="A32" s="5">
        <v>30</v>
      </c>
      <c r="B32" s="6">
        <v>98675</v>
      </c>
      <c r="C32" s="6">
        <v>74</v>
      </c>
      <c r="D32" s="7">
        <v>0.99924500000000005</v>
      </c>
      <c r="E32" s="7">
        <v>7.5500000000000003E-4</v>
      </c>
      <c r="F32" s="7">
        <v>7.4299999999999995E-4</v>
      </c>
      <c r="G32" s="8">
        <v>52.19</v>
      </c>
      <c r="H32" s="6">
        <v>98638</v>
      </c>
      <c r="I32" s="9">
        <v>5150246</v>
      </c>
      <c r="K32">
        <f t="shared" si="0"/>
        <v>1</v>
      </c>
      <c r="L32">
        <f t="shared" si="1"/>
        <v>1</v>
      </c>
      <c r="M32">
        <f t="shared" si="2"/>
        <v>1</v>
      </c>
    </row>
    <row r="33" spans="1:13" x14ac:dyDescent="0.25">
      <c r="A33" s="5">
        <v>31</v>
      </c>
      <c r="B33" s="6">
        <v>98600</v>
      </c>
      <c r="C33" s="6">
        <v>77</v>
      </c>
      <c r="D33" s="7">
        <v>0.99921800000000005</v>
      </c>
      <c r="E33" s="7">
        <v>7.8200000000000003E-4</v>
      </c>
      <c r="F33" s="7">
        <v>7.6800000000000002E-4</v>
      </c>
      <c r="G33" s="8">
        <v>51.23</v>
      </c>
      <c r="H33" s="6">
        <v>98562</v>
      </c>
      <c r="I33" s="9">
        <v>5051608</v>
      </c>
      <c r="K33">
        <f t="shared" si="0"/>
        <v>1</v>
      </c>
      <c r="L33">
        <f t="shared" si="1"/>
        <v>1</v>
      </c>
      <c r="M33">
        <f t="shared" si="2"/>
        <v>1</v>
      </c>
    </row>
    <row r="34" spans="1:13" x14ac:dyDescent="0.25">
      <c r="A34" s="5">
        <v>32</v>
      </c>
      <c r="B34" s="6">
        <v>98523</v>
      </c>
      <c r="C34" s="6">
        <v>80</v>
      </c>
      <c r="D34" s="7">
        <v>0.99918899999999999</v>
      </c>
      <c r="E34" s="7">
        <v>8.1099999999999998E-4</v>
      </c>
      <c r="F34" s="7">
        <v>7.9600000000000005E-4</v>
      </c>
      <c r="G34" s="8">
        <v>50.27</v>
      </c>
      <c r="H34" s="6">
        <v>98484</v>
      </c>
      <c r="I34" s="9">
        <v>4953046</v>
      </c>
      <c r="K34">
        <f t="shared" si="0"/>
        <v>1</v>
      </c>
      <c r="L34">
        <f t="shared" si="1"/>
        <v>1</v>
      </c>
      <c r="M34">
        <f t="shared" si="2"/>
        <v>1</v>
      </c>
    </row>
    <row r="35" spans="1:13" x14ac:dyDescent="0.25">
      <c r="A35" s="5">
        <v>33</v>
      </c>
      <c r="B35" s="6">
        <v>98443</v>
      </c>
      <c r="C35" s="6">
        <v>83</v>
      </c>
      <c r="D35" s="7">
        <v>0.99915500000000002</v>
      </c>
      <c r="E35" s="7">
        <v>8.4500000000000005E-4</v>
      </c>
      <c r="F35" s="7">
        <v>8.2799999999999996E-4</v>
      </c>
      <c r="G35" s="8">
        <v>49.31</v>
      </c>
      <c r="H35" s="6">
        <v>98402</v>
      </c>
      <c r="I35" s="9">
        <v>4854563</v>
      </c>
      <c r="K35">
        <f t="shared" si="0"/>
        <v>1</v>
      </c>
      <c r="L35">
        <f t="shared" si="1"/>
        <v>1</v>
      </c>
      <c r="M35">
        <f t="shared" si="2"/>
        <v>1</v>
      </c>
    </row>
    <row r="36" spans="1:13" x14ac:dyDescent="0.25">
      <c r="A36" s="5">
        <v>34</v>
      </c>
      <c r="B36" s="6">
        <v>98360</v>
      </c>
      <c r="C36" s="6">
        <v>87</v>
      </c>
      <c r="D36" s="7">
        <v>0.99911700000000003</v>
      </c>
      <c r="E36" s="7">
        <v>8.83E-4</v>
      </c>
      <c r="F36" s="7">
        <v>8.6399999999999997E-4</v>
      </c>
      <c r="G36" s="8">
        <v>48.35</v>
      </c>
      <c r="H36" s="6">
        <v>98317</v>
      </c>
      <c r="I36" s="9">
        <v>4756161</v>
      </c>
      <c r="K36">
        <f t="shared" si="0"/>
        <v>1</v>
      </c>
      <c r="L36">
        <f t="shared" si="1"/>
        <v>1</v>
      </c>
      <c r="M36">
        <f t="shared" si="2"/>
        <v>1</v>
      </c>
    </row>
    <row r="37" spans="1:13" x14ac:dyDescent="0.25">
      <c r="A37" s="5">
        <v>35</v>
      </c>
      <c r="B37" s="6">
        <v>98273</v>
      </c>
      <c r="C37" s="6">
        <v>91</v>
      </c>
      <c r="D37" s="7">
        <v>0.99907299999999999</v>
      </c>
      <c r="E37" s="7">
        <v>9.2699999999999998E-4</v>
      </c>
      <c r="F37" s="7">
        <v>9.0399999999999996E-4</v>
      </c>
      <c r="G37" s="8">
        <v>47.4</v>
      </c>
      <c r="H37" s="6">
        <v>98228</v>
      </c>
      <c r="I37" s="9">
        <v>4657843</v>
      </c>
      <c r="K37">
        <f t="shared" si="0"/>
        <v>1</v>
      </c>
      <c r="L37">
        <f t="shared" si="1"/>
        <v>1</v>
      </c>
      <c r="M37">
        <f t="shared" si="2"/>
        <v>1</v>
      </c>
    </row>
    <row r="38" spans="1:13" x14ac:dyDescent="0.25">
      <c r="A38" s="5">
        <v>36</v>
      </c>
      <c r="B38" s="6">
        <v>98182</v>
      </c>
      <c r="C38" s="6">
        <v>96</v>
      </c>
      <c r="D38" s="7">
        <v>0.99902299999999999</v>
      </c>
      <c r="E38" s="7">
        <v>9.77E-4</v>
      </c>
      <c r="F38" s="7">
        <v>9.5100000000000002E-4</v>
      </c>
      <c r="G38" s="8">
        <v>46.44</v>
      </c>
      <c r="H38" s="6">
        <v>98135</v>
      </c>
      <c r="I38" s="9">
        <v>4559615</v>
      </c>
      <c r="K38">
        <f t="shared" si="0"/>
        <v>1</v>
      </c>
      <c r="L38">
        <f t="shared" si="1"/>
        <v>1</v>
      </c>
      <c r="M38">
        <f t="shared" si="2"/>
        <v>1</v>
      </c>
    </row>
    <row r="39" spans="1:13" x14ac:dyDescent="0.25">
      <c r="A39" s="5">
        <v>37</v>
      </c>
      <c r="B39" s="6">
        <v>98086</v>
      </c>
      <c r="C39" s="6">
        <v>101</v>
      </c>
      <c r="D39" s="7">
        <v>0.99896600000000002</v>
      </c>
      <c r="E39" s="7">
        <v>1.034E-3</v>
      </c>
      <c r="F39" s="7">
        <v>1.005E-3</v>
      </c>
      <c r="G39" s="8">
        <v>45.49</v>
      </c>
      <c r="H39" s="6">
        <v>98036</v>
      </c>
      <c r="I39" s="9">
        <v>4461481</v>
      </c>
      <c r="K39">
        <f t="shared" si="0"/>
        <v>1</v>
      </c>
      <c r="L39">
        <f t="shared" si="1"/>
        <v>1</v>
      </c>
      <c r="M39">
        <f t="shared" si="2"/>
        <v>1</v>
      </c>
    </row>
    <row r="40" spans="1:13" x14ac:dyDescent="0.25">
      <c r="A40" s="5">
        <v>38</v>
      </c>
      <c r="B40" s="6">
        <v>97985</v>
      </c>
      <c r="C40" s="6">
        <v>108</v>
      </c>
      <c r="D40" s="7">
        <v>0.99890100000000004</v>
      </c>
      <c r="E40" s="7">
        <v>1.0989999999999999E-3</v>
      </c>
      <c r="F40" s="7">
        <v>1.0660000000000001E-3</v>
      </c>
      <c r="G40" s="8">
        <v>44.53</v>
      </c>
      <c r="H40" s="6">
        <v>97932</v>
      </c>
      <c r="I40" s="9">
        <v>4363444</v>
      </c>
      <c r="K40">
        <f t="shared" si="0"/>
        <v>1</v>
      </c>
      <c r="L40">
        <f t="shared" si="1"/>
        <v>1</v>
      </c>
      <c r="M40">
        <f t="shared" si="2"/>
        <v>1</v>
      </c>
    </row>
    <row r="41" spans="1:13" x14ac:dyDescent="0.25">
      <c r="A41" s="5">
        <v>39</v>
      </c>
      <c r="B41" s="6">
        <v>97877</v>
      </c>
      <c r="C41" s="6">
        <v>115</v>
      </c>
      <c r="D41" s="7">
        <v>0.99882700000000002</v>
      </c>
      <c r="E41" s="7">
        <v>1.173E-3</v>
      </c>
      <c r="F41" s="7">
        <v>1.1349999999999999E-3</v>
      </c>
      <c r="G41" s="8">
        <v>43.58</v>
      </c>
      <c r="H41" s="6">
        <v>97820</v>
      </c>
      <c r="I41" s="9">
        <v>4265513</v>
      </c>
      <c r="K41">
        <f t="shared" si="0"/>
        <v>1</v>
      </c>
      <c r="L41">
        <f t="shared" si="1"/>
        <v>1</v>
      </c>
      <c r="M41">
        <f t="shared" si="2"/>
        <v>1</v>
      </c>
    </row>
    <row r="42" spans="1:13" x14ac:dyDescent="0.25">
      <c r="A42" s="5">
        <v>40</v>
      </c>
      <c r="B42" s="6">
        <v>97762</v>
      </c>
      <c r="C42" s="6">
        <v>123</v>
      </c>
      <c r="D42" s="7">
        <v>0.99874499999999999</v>
      </c>
      <c r="E42" s="7">
        <v>1.255E-3</v>
      </c>
      <c r="F42" s="7">
        <v>1.2130000000000001E-3</v>
      </c>
      <c r="G42" s="8">
        <v>42.63</v>
      </c>
      <c r="H42" s="6">
        <v>97702</v>
      </c>
      <c r="I42" s="9">
        <v>4167692</v>
      </c>
      <c r="K42">
        <f t="shared" si="0"/>
        <v>1</v>
      </c>
      <c r="L42">
        <f t="shared" si="1"/>
        <v>1</v>
      </c>
      <c r="M42">
        <f t="shared" si="2"/>
        <v>1</v>
      </c>
    </row>
    <row r="43" spans="1:13" x14ac:dyDescent="0.25">
      <c r="A43" s="5">
        <v>41</v>
      </c>
      <c r="B43" s="6">
        <v>97640</v>
      </c>
      <c r="C43" s="6">
        <v>132</v>
      </c>
      <c r="D43" s="7">
        <v>0.99865199999999998</v>
      </c>
      <c r="E43" s="7">
        <v>1.348E-3</v>
      </c>
      <c r="F43" s="7">
        <v>1.3010000000000001E-3</v>
      </c>
      <c r="G43" s="8">
        <v>41.68</v>
      </c>
      <c r="H43" s="6">
        <v>97575</v>
      </c>
      <c r="I43" s="9">
        <v>4069990</v>
      </c>
      <c r="K43">
        <f t="shared" si="0"/>
        <v>1</v>
      </c>
      <c r="L43">
        <f t="shared" si="1"/>
        <v>1</v>
      </c>
      <c r="M43">
        <f t="shared" si="2"/>
        <v>1</v>
      </c>
    </row>
    <row r="44" spans="1:13" x14ac:dyDescent="0.25">
      <c r="A44" s="5">
        <v>42</v>
      </c>
      <c r="B44" s="6">
        <v>97508</v>
      </c>
      <c r="C44" s="6">
        <v>142</v>
      </c>
      <c r="D44" s="7">
        <v>0.99854799999999999</v>
      </c>
      <c r="E44" s="7">
        <v>1.4519999999999999E-3</v>
      </c>
      <c r="F44" s="7">
        <v>1.3990000000000001E-3</v>
      </c>
      <c r="G44" s="8">
        <v>40.74</v>
      </c>
      <c r="H44" s="6">
        <v>97438</v>
      </c>
      <c r="I44" s="9">
        <v>3972416</v>
      </c>
      <c r="K44">
        <f t="shared" si="0"/>
        <v>1</v>
      </c>
      <c r="L44">
        <f t="shared" si="1"/>
        <v>1</v>
      </c>
      <c r="M44">
        <f t="shared" si="2"/>
        <v>1</v>
      </c>
    </row>
    <row r="45" spans="1:13" x14ac:dyDescent="0.25">
      <c r="A45" s="5">
        <v>43</v>
      </c>
      <c r="B45" s="6">
        <v>97367</v>
      </c>
      <c r="C45" s="6">
        <v>153</v>
      </c>
      <c r="D45" s="7">
        <v>0.99843300000000001</v>
      </c>
      <c r="E45" s="7">
        <v>1.567E-3</v>
      </c>
      <c r="F45" s="7">
        <v>1.5089999999999999E-3</v>
      </c>
      <c r="G45" s="8">
        <v>39.799999999999997</v>
      </c>
      <c r="H45" s="6">
        <v>97291</v>
      </c>
      <c r="I45" s="9">
        <v>3874978</v>
      </c>
      <c r="K45">
        <f t="shared" si="0"/>
        <v>1</v>
      </c>
      <c r="L45">
        <f t="shared" si="1"/>
        <v>1</v>
      </c>
      <c r="M45">
        <f t="shared" si="2"/>
        <v>1</v>
      </c>
    </row>
    <row r="46" spans="1:13" x14ac:dyDescent="0.25">
      <c r="A46" s="5">
        <v>44</v>
      </c>
      <c r="B46" s="6">
        <v>97214</v>
      </c>
      <c r="C46" s="6">
        <v>165</v>
      </c>
      <c r="D46" s="7">
        <v>0.99830600000000003</v>
      </c>
      <c r="E46" s="7">
        <v>1.694E-3</v>
      </c>
      <c r="F46" s="7">
        <v>1.6299999999999999E-3</v>
      </c>
      <c r="G46" s="8">
        <v>38.86</v>
      </c>
      <c r="H46" s="6">
        <v>97133</v>
      </c>
      <c r="I46" s="9">
        <v>3777686</v>
      </c>
      <c r="K46">
        <f t="shared" si="0"/>
        <v>1</v>
      </c>
      <c r="L46">
        <f t="shared" si="1"/>
        <v>1</v>
      </c>
      <c r="M46">
        <f t="shared" si="2"/>
        <v>1</v>
      </c>
    </row>
    <row r="47" spans="1:13" x14ac:dyDescent="0.25">
      <c r="A47" s="5">
        <v>45</v>
      </c>
      <c r="B47" s="6">
        <v>97049</v>
      </c>
      <c r="C47" s="6">
        <v>178</v>
      </c>
      <c r="D47" s="7">
        <v>0.998166</v>
      </c>
      <c r="E47" s="7">
        <v>1.8339999999999999E-3</v>
      </c>
      <c r="F47" s="7">
        <v>1.763E-3</v>
      </c>
      <c r="G47" s="8">
        <v>37.92</v>
      </c>
      <c r="H47" s="6">
        <v>96961</v>
      </c>
      <c r="I47" s="9">
        <v>3680554</v>
      </c>
      <c r="K47">
        <f t="shared" si="0"/>
        <v>1</v>
      </c>
      <c r="L47">
        <f t="shared" si="1"/>
        <v>1</v>
      </c>
      <c r="M47">
        <f t="shared" si="2"/>
        <v>1</v>
      </c>
    </row>
    <row r="48" spans="1:13" x14ac:dyDescent="0.25">
      <c r="A48" s="5">
        <v>46</v>
      </c>
      <c r="B48" s="6">
        <v>96871</v>
      </c>
      <c r="C48" s="6">
        <v>193</v>
      </c>
      <c r="D48" s="7">
        <v>0.99801200000000001</v>
      </c>
      <c r="E48" s="7">
        <v>1.9880000000000002E-3</v>
      </c>
      <c r="F48" s="7">
        <v>1.91E-3</v>
      </c>
      <c r="G48" s="8">
        <v>36.99</v>
      </c>
      <c r="H48" s="6">
        <v>96776</v>
      </c>
      <c r="I48" s="9">
        <v>3583592</v>
      </c>
      <c r="K48">
        <f t="shared" si="0"/>
        <v>1</v>
      </c>
      <c r="L48">
        <f t="shared" si="1"/>
        <v>1</v>
      </c>
      <c r="M48">
        <f t="shared" si="2"/>
        <v>1</v>
      </c>
    </row>
    <row r="49" spans="1:13" x14ac:dyDescent="0.25">
      <c r="A49" s="5">
        <v>47</v>
      </c>
      <c r="B49" s="6">
        <v>96679</v>
      </c>
      <c r="C49" s="6">
        <v>208</v>
      </c>
      <c r="D49" s="7">
        <v>0.99784399999999995</v>
      </c>
      <c r="E49" s="7">
        <v>2.1559999999999999E-3</v>
      </c>
      <c r="F49" s="7">
        <v>2.0720000000000001E-3</v>
      </c>
      <c r="G49" s="8">
        <v>36.07</v>
      </c>
      <c r="H49" s="6">
        <v>96576</v>
      </c>
      <c r="I49" s="9">
        <v>3486816</v>
      </c>
      <c r="K49">
        <f t="shared" si="0"/>
        <v>1</v>
      </c>
      <c r="L49">
        <f t="shared" si="1"/>
        <v>1</v>
      </c>
      <c r="M49">
        <f t="shared" si="2"/>
        <v>1</v>
      </c>
    </row>
    <row r="50" spans="1:13" x14ac:dyDescent="0.25">
      <c r="A50" s="5">
        <v>48</v>
      </c>
      <c r="B50" s="6">
        <v>96470</v>
      </c>
      <c r="C50" s="6">
        <v>226</v>
      </c>
      <c r="D50" s="7">
        <v>0.99765999999999999</v>
      </c>
      <c r="E50" s="7">
        <v>2.3400000000000001E-3</v>
      </c>
      <c r="F50" s="7">
        <v>2.248E-3</v>
      </c>
      <c r="G50" s="8">
        <v>35.14</v>
      </c>
      <c r="H50" s="6">
        <v>96359</v>
      </c>
      <c r="I50" s="9">
        <v>3390240</v>
      </c>
      <c r="K50">
        <f t="shared" si="0"/>
        <v>1</v>
      </c>
      <c r="L50">
        <f t="shared" si="1"/>
        <v>1</v>
      </c>
      <c r="M50">
        <f t="shared" si="2"/>
        <v>1</v>
      </c>
    </row>
    <row r="51" spans="1:13" x14ac:dyDescent="0.25">
      <c r="A51" s="5">
        <v>49</v>
      </c>
      <c r="B51" s="6">
        <v>96245</v>
      </c>
      <c r="C51" s="6">
        <v>244</v>
      </c>
      <c r="D51" s="7">
        <v>0.99746000000000001</v>
      </c>
      <c r="E51" s="7">
        <v>2.5400000000000002E-3</v>
      </c>
      <c r="F51" s="7">
        <v>2.4399999999999999E-3</v>
      </c>
      <c r="G51" s="8">
        <v>34.22</v>
      </c>
      <c r="H51" s="6">
        <v>96124</v>
      </c>
      <c r="I51" s="9">
        <v>3293881</v>
      </c>
      <c r="K51">
        <f t="shared" si="0"/>
        <v>1</v>
      </c>
      <c r="L51">
        <f t="shared" si="1"/>
        <v>1</v>
      </c>
      <c r="M51">
        <f t="shared" si="2"/>
        <v>1</v>
      </c>
    </row>
    <row r="52" spans="1:13" x14ac:dyDescent="0.25">
      <c r="A52" s="5">
        <v>50</v>
      </c>
      <c r="B52" s="6">
        <v>96000</v>
      </c>
      <c r="C52" s="6">
        <v>265</v>
      </c>
      <c r="D52" s="7">
        <v>0.99724400000000002</v>
      </c>
      <c r="E52" s="7">
        <v>2.7560000000000002E-3</v>
      </c>
      <c r="F52" s="7">
        <v>2.6489999999999999E-3</v>
      </c>
      <c r="G52" s="8">
        <v>33.31</v>
      </c>
      <c r="H52" s="6">
        <v>95870</v>
      </c>
      <c r="I52" s="9">
        <v>3197757</v>
      </c>
      <c r="K52">
        <f t="shared" si="0"/>
        <v>1</v>
      </c>
      <c r="L52">
        <f t="shared" si="1"/>
        <v>1</v>
      </c>
      <c r="M52">
        <f t="shared" si="2"/>
        <v>1</v>
      </c>
    </row>
    <row r="53" spans="1:13" x14ac:dyDescent="0.25">
      <c r="A53" s="5">
        <v>51</v>
      </c>
      <c r="B53" s="6">
        <v>95736</v>
      </c>
      <c r="C53" s="6">
        <v>286</v>
      </c>
      <c r="D53" s="7">
        <v>0.99700999999999995</v>
      </c>
      <c r="E53" s="7">
        <v>2.99E-3</v>
      </c>
      <c r="F53" s="7">
        <v>2.8739999999999998E-3</v>
      </c>
      <c r="G53" s="8">
        <v>32.4</v>
      </c>
      <c r="H53" s="6">
        <v>95594</v>
      </c>
      <c r="I53" s="9">
        <v>3101888</v>
      </c>
      <c r="K53">
        <f t="shared" si="0"/>
        <v>1</v>
      </c>
      <c r="L53">
        <f t="shared" si="1"/>
        <v>1</v>
      </c>
      <c r="M53">
        <f t="shared" si="2"/>
        <v>1</v>
      </c>
    </row>
    <row r="54" spans="1:13" x14ac:dyDescent="0.25">
      <c r="A54" s="5">
        <v>52</v>
      </c>
      <c r="B54" s="6">
        <v>95449</v>
      </c>
      <c r="C54" s="6">
        <v>310</v>
      </c>
      <c r="D54" s="7">
        <v>0.99675599999999998</v>
      </c>
      <c r="E54" s="7">
        <v>3.2439999999999999E-3</v>
      </c>
      <c r="F54" s="7">
        <v>3.1180000000000001E-3</v>
      </c>
      <c r="G54" s="8">
        <v>31.5</v>
      </c>
      <c r="H54" s="6">
        <v>95296</v>
      </c>
      <c r="I54" s="9">
        <v>3006293</v>
      </c>
      <c r="K54">
        <f t="shared" si="0"/>
        <v>1</v>
      </c>
      <c r="L54">
        <f t="shared" si="1"/>
        <v>1</v>
      </c>
      <c r="M54">
        <f t="shared" si="2"/>
        <v>1</v>
      </c>
    </row>
    <row r="55" spans="1:13" x14ac:dyDescent="0.25">
      <c r="A55" s="5">
        <v>53</v>
      </c>
      <c r="B55" s="6">
        <v>95140</v>
      </c>
      <c r="C55" s="6">
        <v>335</v>
      </c>
      <c r="D55" s="7">
        <v>0.99648000000000003</v>
      </c>
      <c r="E55" s="7">
        <v>3.5200000000000001E-3</v>
      </c>
      <c r="F55" s="7">
        <v>3.3839999999999999E-3</v>
      </c>
      <c r="G55" s="8">
        <v>30.6</v>
      </c>
      <c r="H55" s="6">
        <v>94974</v>
      </c>
      <c r="I55" s="9">
        <v>2910997</v>
      </c>
      <c r="K55">
        <f t="shared" si="0"/>
        <v>1</v>
      </c>
      <c r="L55">
        <f t="shared" si="1"/>
        <v>1</v>
      </c>
      <c r="M55">
        <f t="shared" si="2"/>
        <v>1</v>
      </c>
    </row>
    <row r="56" spans="1:13" x14ac:dyDescent="0.25">
      <c r="A56" s="5">
        <v>54</v>
      </c>
      <c r="B56" s="6">
        <v>94805</v>
      </c>
      <c r="C56" s="6">
        <v>362</v>
      </c>
      <c r="D56" s="7">
        <v>0.99617900000000004</v>
      </c>
      <c r="E56" s="7">
        <v>3.8210000000000002E-3</v>
      </c>
      <c r="F56" s="7">
        <v>3.673E-3</v>
      </c>
      <c r="G56" s="8">
        <v>29.7</v>
      </c>
      <c r="H56" s="6">
        <v>94626</v>
      </c>
      <c r="I56" s="9">
        <v>2816023</v>
      </c>
      <c r="K56">
        <f t="shared" si="0"/>
        <v>1</v>
      </c>
      <c r="L56">
        <f t="shared" si="1"/>
        <v>1</v>
      </c>
      <c r="M56">
        <f t="shared" si="2"/>
        <v>1</v>
      </c>
    </row>
    <row r="57" spans="1:13" x14ac:dyDescent="0.25">
      <c r="A57" s="5">
        <v>55</v>
      </c>
      <c r="B57" s="6">
        <v>94442</v>
      </c>
      <c r="C57" s="6">
        <v>392</v>
      </c>
      <c r="D57" s="7">
        <v>0.99585299999999999</v>
      </c>
      <c r="E57" s="7">
        <v>4.1469999999999996E-3</v>
      </c>
      <c r="F57" s="7">
        <v>3.9870000000000001E-3</v>
      </c>
      <c r="G57" s="8">
        <v>28.82</v>
      </c>
      <c r="H57" s="6">
        <v>94249</v>
      </c>
      <c r="I57" s="9">
        <v>2721397</v>
      </c>
      <c r="K57">
        <f t="shared" si="0"/>
        <v>1</v>
      </c>
      <c r="L57">
        <f t="shared" si="1"/>
        <v>1</v>
      </c>
      <c r="M57">
        <f t="shared" si="2"/>
        <v>1</v>
      </c>
    </row>
    <row r="58" spans="1:13" x14ac:dyDescent="0.25">
      <c r="A58" s="5">
        <v>56</v>
      </c>
      <c r="B58" s="6">
        <v>94051</v>
      </c>
      <c r="C58" s="6">
        <v>424</v>
      </c>
      <c r="D58" s="7">
        <v>0.99549699999999997</v>
      </c>
      <c r="E58" s="7">
        <v>4.5030000000000001E-3</v>
      </c>
      <c r="F58" s="7">
        <v>4.3290000000000004E-3</v>
      </c>
      <c r="G58" s="8">
        <v>27.93</v>
      </c>
      <c r="H58" s="6">
        <v>93842</v>
      </c>
      <c r="I58" s="9">
        <v>2627147</v>
      </c>
      <c r="K58">
        <f t="shared" si="0"/>
        <v>1</v>
      </c>
      <c r="L58">
        <f t="shared" si="1"/>
        <v>1</v>
      </c>
      <c r="M58">
        <f t="shared" si="2"/>
        <v>1</v>
      </c>
    </row>
    <row r="59" spans="1:13" x14ac:dyDescent="0.25">
      <c r="A59" s="5">
        <v>57</v>
      </c>
      <c r="B59" s="6">
        <v>93627</v>
      </c>
      <c r="C59" s="6">
        <v>458</v>
      </c>
      <c r="D59" s="7">
        <v>0.99510900000000002</v>
      </c>
      <c r="E59" s="7">
        <v>4.8910000000000004E-3</v>
      </c>
      <c r="F59" s="7">
        <v>4.7029999999999997E-3</v>
      </c>
      <c r="G59" s="8">
        <v>27.06</v>
      </c>
      <c r="H59" s="6">
        <v>93401</v>
      </c>
      <c r="I59" s="9">
        <v>2533306</v>
      </c>
      <c r="K59">
        <f t="shared" si="0"/>
        <v>1</v>
      </c>
      <c r="L59">
        <f t="shared" si="1"/>
        <v>1</v>
      </c>
      <c r="M59">
        <f t="shared" si="2"/>
        <v>1</v>
      </c>
    </row>
    <row r="60" spans="1:13" x14ac:dyDescent="0.25">
      <c r="A60" s="5">
        <v>58</v>
      </c>
      <c r="B60" s="6">
        <v>93169</v>
      </c>
      <c r="C60" s="6">
        <v>495</v>
      </c>
      <c r="D60" s="7">
        <v>0.99468900000000005</v>
      </c>
      <c r="E60" s="7">
        <v>5.3109999999999997E-3</v>
      </c>
      <c r="F60" s="7">
        <v>5.1079999999999997E-3</v>
      </c>
      <c r="G60" s="8">
        <v>26.19</v>
      </c>
      <c r="H60" s="6">
        <v>92925</v>
      </c>
      <c r="I60" s="9">
        <v>2439904</v>
      </c>
      <c r="K60">
        <f t="shared" si="0"/>
        <v>1</v>
      </c>
      <c r="L60">
        <f t="shared" si="1"/>
        <v>1</v>
      </c>
      <c r="M60">
        <f t="shared" si="2"/>
        <v>1</v>
      </c>
    </row>
    <row r="61" spans="1:13" x14ac:dyDescent="0.25">
      <c r="A61" s="5">
        <v>59</v>
      </c>
      <c r="B61" s="6">
        <v>92675</v>
      </c>
      <c r="C61" s="6">
        <v>535</v>
      </c>
      <c r="D61" s="7">
        <v>0.994232</v>
      </c>
      <c r="E61" s="7">
        <v>5.7679999999999997E-3</v>
      </c>
      <c r="F61" s="7">
        <v>5.5490000000000001E-3</v>
      </c>
      <c r="G61" s="8">
        <v>25.32</v>
      </c>
      <c r="H61" s="6">
        <v>92411</v>
      </c>
      <c r="I61" s="9">
        <v>2346979</v>
      </c>
      <c r="K61">
        <f t="shared" si="0"/>
        <v>1</v>
      </c>
      <c r="L61">
        <f t="shared" si="1"/>
        <v>1</v>
      </c>
      <c r="M61">
        <f t="shared" si="2"/>
        <v>1</v>
      </c>
    </row>
    <row r="62" spans="1:13" x14ac:dyDescent="0.25">
      <c r="A62" s="5">
        <v>60</v>
      </c>
      <c r="B62" s="6">
        <v>92140</v>
      </c>
      <c r="C62" s="6">
        <v>577</v>
      </c>
      <c r="D62" s="7">
        <v>0.99373800000000001</v>
      </c>
      <c r="E62" s="7">
        <v>6.2620000000000002E-3</v>
      </c>
      <c r="F62" s="7">
        <v>6.0270000000000002E-3</v>
      </c>
      <c r="G62" s="8">
        <v>24.47</v>
      </c>
      <c r="H62" s="6">
        <v>91855</v>
      </c>
      <c r="I62" s="9">
        <v>2254568</v>
      </c>
      <c r="K62">
        <f t="shared" si="0"/>
        <v>1</v>
      </c>
      <c r="L62">
        <f t="shared" si="1"/>
        <v>1</v>
      </c>
      <c r="M62">
        <f t="shared" si="2"/>
        <v>1</v>
      </c>
    </row>
    <row r="63" spans="1:13" x14ac:dyDescent="0.25">
      <c r="A63" s="5">
        <v>61</v>
      </c>
      <c r="B63" s="6">
        <v>91563</v>
      </c>
      <c r="C63" s="6">
        <v>622</v>
      </c>
      <c r="D63" s="7">
        <v>0.99320299999999995</v>
      </c>
      <c r="E63" s="7">
        <v>6.7970000000000001E-3</v>
      </c>
      <c r="F63" s="7">
        <v>6.5440000000000003E-3</v>
      </c>
      <c r="G63" s="8">
        <v>23.62</v>
      </c>
      <c r="H63" s="6">
        <v>91256</v>
      </c>
      <c r="I63" s="9">
        <v>2162713</v>
      </c>
      <c r="K63">
        <f t="shared" si="0"/>
        <v>1</v>
      </c>
      <c r="L63">
        <f t="shared" si="1"/>
        <v>1</v>
      </c>
      <c r="M63">
        <f t="shared" si="2"/>
        <v>1</v>
      </c>
    </row>
    <row r="64" spans="1:13" x14ac:dyDescent="0.25">
      <c r="A64" s="5">
        <v>62</v>
      </c>
      <c r="B64" s="6">
        <v>90941</v>
      </c>
      <c r="C64" s="6">
        <v>671</v>
      </c>
      <c r="D64" s="7">
        <v>0.99262600000000001</v>
      </c>
      <c r="E64" s="7">
        <v>7.3740000000000003E-3</v>
      </c>
      <c r="F64" s="7">
        <v>7.1029999999999999E-3</v>
      </c>
      <c r="G64" s="8">
        <v>22.78</v>
      </c>
      <c r="H64" s="6">
        <v>90610</v>
      </c>
      <c r="I64" s="9">
        <v>2071457</v>
      </c>
      <c r="K64">
        <f t="shared" si="0"/>
        <v>1</v>
      </c>
      <c r="L64">
        <f t="shared" si="1"/>
        <v>1</v>
      </c>
      <c r="M64">
        <f t="shared" si="2"/>
        <v>1</v>
      </c>
    </row>
    <row r="65" spans="1:13" x14ac:dyDescent="0.25">
      <c r="A65" s="5">
        <v>63</v>
      </c>
      <c r="B65" s="6">
        <v>90270</v>
      </c>
      <c r="C65" s="6">
        <v>722</v>
      </c>
      <c r="D65" s="7">
        <v>0.992004</v>
      </c>
      <c r="E65" s="7">
        <v>7.9959999999999996E-3</v>
      </c>
      <c r="F65" s="7">
        <v>7.7070000000000003E-3</v>
      </c>
      <c r="G65" s="8">
        <v>21.94</v>
      </c>
      <c r="H65" s="6">
        <v>89914</v>
      </c>
      <c r="I65" s="9">
        <v>1980848</v>
      </c>
      <c r="K65">
        <f t="shared" si="0"/>
        <v>1</v>
      </c>
      <c r="L65">
        <f t="shared" si="1"/>
        <v>1</v>
      </c>
      <c r="M65">
        <f t="shared" si="2"/>
        <v>1</v>
      </c>
    </row>
    <row r="66" spans="1:13" x14ac:dyDescent="0.25">
      <c r="A66" s="5">
        <v>64</v>
      </c>
      <c r="B66" s="6">
        <v>89548</v>
      </c>
      <c r="C66" s="6">
        <v>776</v>
      </c>
      <c r="D66" s="7">
        <v>0.99133199999999999</v>
      </c>
      <c r="E66" s="7">
        <v>8.6680000000000004E-3</v>
      </c>
      <c r="F66" s="7">
        <v>8.3569999999999998E-3</v>
      </c>
      <c r="G66" s="8">
        <v>21.12</v>
      </c>
      <c r="H66" s="6">
        <v>89165</v>
      </c>
      <c r="I66" s="9">
        <v>1890934</v>
      </c>
      <c r="K66">
        <f t="shared" si="0"/>
        <v>1</v>
      </c>
      <c r="L66">
        <f t="shared" si="1"/>
        <v>1</v>
      </c>
      <c r="M66">
        <f t="shared" si="2"/>
        <v>1</v>
      </c>
    </row>
    <row r="67" spans="1:13" x14ac:dyDescent="0.25">
      <c r="A67" s="5">
        <v>65</v>
      </c>
      <c r="B67" s="6">
        <v>88772</v>
      </c>
      <c r="C67" s="6">
        <v>835</v>
      </c>
      <c r="D67" s="7">
        <v>0.99059699999999995</v>
      </c>
      <c r="E67" s="7">
        <v>9.4029999999999999E-3</v>
      </c>
      <c r="F67" s="7">
        <v>9.0639999999999991E-3</v>
      </c>
      <c r="G67" s="8">
        <v>20.3</v>
      </c>
      <c r="H67" s="6">
        <v>88360</v>
      </c>
      <c r="I67" s="9">
        <v>1801770</v>
      </c>
      <c r="K67">
        <f t="shared" ref="K67:K111" si="3">1/(1+$P$2)^MAX(A67-$P$4,0)</f>
        <v>1</v>
      </c>
      <c r="L67">
        <f t="shared" ref="L67:L111" si="4">IF(A67&lt;$P$4+$P$3+1,1,D67)</f>
        <v>1</v>
      </c>
      <c r="M67">
        <f t="shared" ref="M67:M111" si="5">K67*L67</f>
        <v>1</v>
      </c>
    </row>
    <row r="68" spans="1:13" x14ac:dyDescent="0.25">
      <c r="A68" s="5">
        <v>66</v>
      </c>
      <c r="B68" s="6">
        <v>87937</v>
      </c>
      <c r="C68" s="6">
        <v>899</v>
      </c>
      <c r="D68" s="7">
        <v>0.98977999999999999</v>
      </c>
      <c r="E68" s="7">
        <v>1.022E-2</v>
      </c>
      <c r="F68" s="7">
        <v>9.8449999999999996E-3</v>
      </c>
      <c r="G68" s="8">
        <v>19.48</v>
      </c>
      <c r="H68" s="6">
        <v>87494</v>
      </c>
      <c r="I68" s="9">
        <v>1713410</v>
      </c>
      <c r="K68">
        <f t="shared" si="3"/>
        <v>0.98039215686274506</v>
      </c>
      <c r="L68">
        <f t="shared" si="4"/>
        <v>1</v>
      </c>
      <c r="M68">
        <f t="shared" si="5"/>
        <v>0.98039215686274506</v>
      </c>
    </row>
    <row r="69" spans="1:13" x14ac:dyDescent="0.25">
      <c r="A69" s="5">
        <v>67</v>
      </c>
      <c r="B69" s="6">
        <v>87039</v>
      </c>
      <c r="C69" s="6">
        <v>969</v>
      </c>
      <c r="D69" s="7">
        <v>0.98886600000000002</v>
      </c>
      <c r="E69" s="7">
        <v>1.1134E-2</v>
      </c>
      <c r="F69" s="7">
        <v>1.0717000000000001E-2</v>
      </c>
      <c r="G69" s="8">
        <v>18.68</v>
      </c>
      <c r="H69" s="6">
        <v>86560</v>
      </c>
      <c r="I69" s="9">
        <v>1625916</v>
      </c>
      <c r="K69">
        <f t="shared" si="3"/>
        <v>0.96116878123798544</v>
      </c>
      <c r="L69">
        <f t="shared" si="4"/>
        <v>1</v>
      </c>
      <c r="M69">
        <f t="shared" si="5"/>
        <v>0.96116878123798544</v>
      </c>
    </row>
    <row r="70" spans="1:13" x14ac:dyDescent="0.25">
      <c r="A70" s="5">
        <v>68</v>
      </c>
      <c r="B70" s="6">
        <v>86070</v>
      </c>
      <c r="C70" s="6">
        <v>1047</v>
      </c>
      <c r="D70" s="7">
        <v>0.98783699999999997</v>
      </c>
      <c r="E70" s="7">
        <v>1.2163E-2</v>
      </c>
      <c r="F70" s="7">
        <v>1.1696E-2</v>
      </c>
      <c r="G70" s="8">
        <v>17.89</v>
      </c>
      <c r="H70" s="6">
        <v>85553</v>
      </c>
      <c r="I70" s="9">
        <v>1539356</v>
      </c>
      <c r="K70">
        <f t="shared" si="3"/>
        <v>0.94232233454704462</v>
      </c>
      <c r="L70">
        <f t="shared" si="4"/>
        <v>1</v>
      </c>
      <c r="M70">
        <f t="shared" si="5"/>
        <v>0.94232233454704462</v>
      </c>
    </row>
    <row r="71" spans="1:13" x14ac:dyDescent="0.25">
      <c r="A71" s="5">
        <v>69</v>
      </c>
      <c r="B71" s="6">
        <v>85023</v>
      </c>
      <c r="C71" s="6">
        <v>1133</v>
      </c>
      <c r="D71" s="7">
        <v>0.98667700000000003</v>
      </c>
      <c r="E71" s="7">
        <v>1.3323E-2</v>
      </c>
      <c r="F71" s="7">
        <v>1.2801E-2</v>
      </c>
      <c r="G71" s="8">
        <v>17.100000000000001</v>
      </c>
      <c r="H71" s="6">
        <v>84464</v>
      </c>
      <c r="I71" s="9">
        <v>1453803</v>
      </c>
      <c r="K71">
        <f t="shared" si="3"/>
        <v>0.9238454260265142</v>
      </c>
      <c r="L71">
        <f t="shared" si="4"/>
        <v>1</v>
      </c>
      <c r="M71">
        <f t="shared" si="5"/>
        <v>0.9238454260265142</v>
      </c>
    </row>
    <row r="72" spans="1:13" x14ac:dyDescent="0.25">
      <c r="A72" s="5">
        <v>70</v>
      </c>
      <c r="B72" s="6">
        <v>83890</v>
      </c>
      <c r="C72" s="6">
        <v>1227</v>
      </c>
      <c r="D72" s="7">
        <v>0.98536999999999997</v>
      </c>
      <c r="E72" s="7">
        <v>1.4630000000000001E-2</v>
      </c>
      <c r="F72" s="7">
        <v>1.4049000000000001E-2</v>
      </c>
      <c r="G72" s="8">
        <v>16.32</v>
      </c>
      <c r="H72" s="6">
        <v>83285</v>
      </c>
      <c r="I72" s="9">
        <v>1369339</v>
      </c>
      <c r="K72">
        <f t="shared" si="3"/>
        <v>0.90573080982991594</v>
      </c>
      <c r="L72">
        <f t="shared" si="4"/>
        <v>1</v>
      </c>
      <c r="M72">
        <f t="shared" si="5"/>
        <v>0.90573080982991594</v>
      </c>
    </row>
    <row r="73" spans="1:13" x14ac:dyDescent="0.25">
      <c r="A73" s="5">
        <v>71</v>
      </c>
      <c r="B73" s="6">
        <v>82663</v>
      </c>
      <c r="C73" s="6">
        <v>1331</v>
      </c>
      <c r="D73" s="7">
        <v>0.98389800000000005</v>
      </c>
      <c r="E73" s="7">
        <v>1.6102000000000002E-2</v>
      </c>
      <c r="F73" s="7">
        <v>1.5455999999999999E-2</v>
      </c>
      <c r="G73" s="8">
        <v>15.56</v>
      </c>
      <c r="H73" s="6">
        <v>82006</v>
      </c>
      <c r="I73" s="9">
        <v>1286055</v>
      </c>
      <c r="K73">
        <f t="shared" si="3"/>
        <v>0.88797138218619198</v>
      </c>
      <c r="L73">
        <f t="shared" si="4"/>
        <v>1</v>
      </c>
      <c r="M73">
        <f t="shared" si="5"/>
        <v>0.88797138218619198</v>
      </c>
    </row>
    <row r="74" spans="1:13" x14ac:dyDescent="0.25">
      <c r="A74" s="5">
        <v>72</v>
      </c>
      <c r="B74" s="6">
        <v>81332</v>
      </c>
      <c r="C74" s="6">
        <v>1444</v>
      </c>
      <c r="D74" s="7">
        <v>0.98224100000000003</v>
      </c>
      <c r="E74" s="7">
        <v>1.7759E-2</v>
      </c>
      <c r="F74" s="7">
        <v>1.704E-2</v>
      </c>
      <c r="G74" s="8">
        <v>14.8</v>
      </c>
      <c r="H74" s="6">
        <v>80619</v>
      </c>
      <c r="I74" s="9">
        <v>1204049</v>
      </c>
      <c r="K74">
        <f t="shared" si="3"/>
        <v>0.87056017861391388</v>
      </c>
      <c r="L74">
        <f t="shared" si="4"/>
        <v>1</v>
      </c>
      <c r="M74">
        <f t="shared" si="5"/>
        <v>0.87056017861391388</v>
      </c>
    </row>
    <row r="75" spans="1:13" x14ac:dyDescent="0.25">
      <c r="A75" s="5">
        <v>73</v>
      </c>
      <c r="B75" s="6">
        <v>79887</v>
      </c>
      <c r="C75" s="6">
        <v>1570</v>
      </c>
      <c r="D75" s="7">
        <v>0.980352</v>
      </c>
      <c r="E75" s="7">
        <v>1.9647999999999999E-2</v>
      </c>
      <c r="F75" s="7">
        <v>1.8837E-2</v>
      </c>
      <c r="G75" s="8">
        <v>14.06</v>
      </c>
      <c r="H75" s="6">
        <v>79113</v>
      </c>
      <c r="I75" s="9">
        <v>1123429</v>
      </c>
      <c r="K75">
        <f t="shared" si="3"/>
        <v>0.85349037119011162</v>
      </c>
      <c r="L75">
        <f t="shared" si="4"/>
        <v>1</v>
      </c>
      <c r="M75">
        <f t="shared" si="5"/>
        <v>0.85349037119011162</v>
      </c>
    </row>
    <row r="76" spans="1:13" x14ac:dyDescent="0.25">
      <c r="A76" s="5">
        <v>74</v>
      </c>
      <c r="B76" s="6">
        <v>78318</v>
      </c>
      <c r="C76" s="6">
        <v>1709</v>
      </c>
      <c r="D76" s="7">
        <v>0.97818099999999997</v>
      </c>
      <c r="E76" s="7">
        <v>2.1819000000000002E-2</v>
      </c>
      <c r="F76" s="7">
        <v>2.0899000000000001E-2</v>
      </c>
      <c r="G76" s="8">
        <v>13.33</v>
      </c>
      <c r="H76" s="6">
        <v>77475</v>
      </c>
      <c r="I76" s="9">
        <v>1044316</v>
      </c>
      <c r="K76">
        <f t="shared" si="3"/>
        <v>0.83675526587265847</v>
      </c>
      <c r="L76">
        <f t="shared" si="4"/>
        <v>1</v>
      </c>
      <c r="M76">
        <f t="shared" si="5"/>
        <v>0.83675526587265847</v>
      </c>
    </row>
    <row r="77" spans="1:13" x14ac:dyDescent="0.25">
      <c r="A77" s="5">
        <v>75</v>
      </c>
      <c r="B77" s="6">
        <v>76609</v>
      </c>
      <c r="C77" s="6">
        <v>1863</v>
      </c>
      <c r="D77" s="7">
        <v>0.97567899999999996</v>
      </c>
      <c r="E77" s="7">
        <v>2.4320999999999999E-2</v>
      </c>
      <c r="F77" s="7">
        <v>2.3279999999999999E-2</v>
      </c>
      <c r="G77" s="8">
        <v>12.62</v>
      </c>
      <c r="H77" s="6">
        <v>75691</v>
      </c>
      <c r="I77" s="9">
        <v>966840</v>
      </c>
      <c r="K77">
        <f t="shared" si="3"/>
        <v>0.82034829987515534</v>
      </c>
      <c r="L77">
        <f t="shared" si="4"/>
        <v>1</v>
      </c>
      <c r="M77">
        <f t="shared" si="5"/>
        <v>0.82034829987515534</v>
      </c>
    </row>
    <row r="78" spans="1:13" x14ac:dyDescent="0.25">
      <c r="A78" s="5">
        <v>76</v>
      </c>
      <c r="B78" s="6">
        <v>74746</v>
      </c>
      <c r="C78" s="6">
        <v>2033</v>
      </c>
      <c r="D78" s="7">
        <v>0.97279599999999999</v>
      </c>
      <c r="E78" s="7">
        <v>2.7203999999999999E-2</v>
      </c>
      <c r="F78" s="7">
        <v>2.6030999999999999E-2</v>
      </c>
      <c r="G78" s="8">
        <v>11.92</v>
      </c>
      <c r="H78" s="6">
        <v>73744</v>
      </c>
      <c r="I78" s="9">
        <v>891150</v>
      </c>
      <c r="K78">
        <f t="shared" si="3"/>
        <v>0.80426303909328967</v>
      </c>
      <c r="L78">
        <f t="shared" si="4"/>
        <v>1</v>
      </c>
      <c r="M78">
        <f t="shared" si="5"/>
        <v>0.80426303909328967</v>
      </c>
    </row>
    <row r="79" spans="1:13" x14ac:dyDescent="0.25">
      <c r="A79" s="5">
        <v>77</v>
      </c>
      <c r="B79" s="6">
        <v>72712</v>
      </c>
      <c r="C79" s="6">
        <v>2219</v>
      </c>
      <c r="D79" s="7">
        <v>0.96948500000000004</v>
      </c>
      <c r="E79" s="7">
        <v>3.0515E-2</v>
      </c>
      <c r="F79" s="7">
        <v>2.9207E-2</v>
      </c>
      <c r="G79" s="8">
        <v>11.24</v>
      </c>
      <c r="H79" s="6">
        <v>71619</v>
      </c>
      <c r="I79" s="9">
        <v>817406</v>
      </c>
      <c r="K79">
        <f t="shared" si="3"/>
        <v>0.78849317558165644</v>
      </c>
      <c r="L79">
        <f t="shared" si="4"/>
        <v>1</v>
      </c>
      <c r="M79">
        <f t="shared" si="5"/>
        <v>0.78849317558165644</v>
      </c>
    </row>
    <row r="80" spans="1:13" x14ac:dyDescent="0.25">
      <c r="A80" s="5">
        <v>78</v>
      </c>
      <c r="B80" s="6">
        <v>70493</v>
      </c>
      <c r="C80" s="6">
        <v>2418</v>
      </c>
      <c r="D80" s="7">
        <v>0.96569899999999997</v>
      </c>
      <c r="E80" s="7">
        <v>3.4300999999999998E-2</v>
      </c>
      <c r="F80" s="7">
        <v>3.2858999999999999E-2</v>
      </c>
      <c r="G80" s="8">
        <v>10.58</v>
      </c>
      <c r="H80" s="6">
        <v>69301</v>
      </c>
      <c r="I80" s="9">
        <v>745787</v>
      </c>
      <c r="K80">
        <f t="shared" si="3"/>
        <v>0.77303252508005538</v>
      </c>
      <c r="L80">
        <f t="shared" si="4"/>
        <v>1</v>
      </c>
      <c r="M80">
        <f t="shared" si="5"/>
        <v>0.77303252508005538</v>
      </c>
    </row>
    <row r="81" spans="1:13" x14ac:dyDescent="0.25">
      <c r="A81" s="5">
        <v>79</v>
      </c>
      <c r="B81" s="6">
        <v>68075</v>
      </c>
      <c r="C81" s="6">
        <v>2628</v>
      </c>
      <c r="D81" s="7">
        <v>0.96139200000000002</v>
      </c>
      <c r="E81" s="7">
        <v>3.8608000000000003E-2</v>
      </c>
      <c r="F81" s="7">
        <v>3.7040999999999998E-2</v>
      </c>
      <c r="G81" s="8">
        <v>9.94</v>
      </c>
      <c r="H81" s="6">
        <v>66779</v>
      </c>
      <c r="I81" s="9">
        <v>676486</v>
      </c>
      <c r="K81">
        <f t="shared" si="3"/>
        <v>0.75787502458828948</v>
      </c>
      <c r="L81">
        <f t="shared" si="4"/>
        <v>1</v>
      </c>
      <c r="M81">
        <f t="shared" si="5"/>
        <v>0.75787502458828948</v>
      </c>
    </row>
    <row r="82" spans="1:13" x14ac:dyDescent="0.25">
      <c r="A82" s="5">
        <v>80</v>
      </c>
      <c r="B82" s="6">
        <v>65447</v>
      </c>
      <c r="C82" s="6">
        <v>2846</v>
      </c>
      <c r="D82" s="7">
        <v>0.95652000000000004</v>
      </c>
      <c r="E82" s="7">
        <v>4.3479999999999998E-2</v>
      </c>
      <c r="F82" s="7">
        <v>4.1806999999999997E-2</v>
      </c>
      <c r="G82" s="8">
        <v>9.32</v>
      </c>
      <c r="H82" s="6">
        <v>64043</v>
      </c>
      <c r="I82" s="9">
        <v>609707</v>
      </c>
      <c r="K82">
        <f t="shared" si="3"/>
        <v>0.74301472998851925</v>
      </c>
      <c r="L82">
        <f t="shared" si="4"/>
        <v>1</v>
      </c>
      <c r="M82">
        <f t="shared" si="5"/>
        <v>0.74301472998851925</v>
      </c>
    </row>
    <row r="83" spans="1:13" x14ac:dyDescent="0.25">
      <c r="A83" s="5">
        <v>81</v>
      </c>
      <c r="B83" s="6">
        <v>62601</v>
      </c>
      <c r="C83" s="6">
        <v>3066</v>
      </c>
      <c r="D83" s="7">
        <v>0.95102600000000004</v>
      </c>
      <c r="E83" s="7">
        <v>4.8973999999999997E-2</v>
      </c>
      <c r="F83" s="7">
        <v>4.7210000000000002E-2</v>
      </c>
      <c r="G83" s="8">
        <v>8.7200000000000006</v>
      </c>
      <c r="H83" s="6">
        <v>61087</v>
      </c>
      <c r="I83" s="9">
        <v>545664</v>
      </c>
      <c r="K83">
        <f t="shared" si="3"/>
        <v>0.72844581371423445</v>
      </c>
      <c r="L83">
        <f t="shared" si="4"/>
        <v>1</v>
      </c>
      <c r="M83">
        <f t="shared" si="5"/>
        <v>0.72844581371423445</v>
      </c>
    </row>
    <row r="84" spans="1:13" x14ac:dyDescent="0.25">
      <c r="A84" s="5">
        <v>82</v>
      </c>
      <c r="B84" s="6">
        <v>59536</v>
      </c>
      <c r="C84" s="6">
        <v>3287</v>
      </c>
      <c r="D84" s="7">
        <v>0.94478399999999996</v>
      </c>
      <c r="E84" s="7">
        <v>5.5216000000000001E-2</v>
      </c>
      <c r="F84" s="7">
        <v>5.3357000000000002E-2</v>
      </c>
      <c r="G84" s="8">
        <v>8.14</v>
      </c>
      <c r="H84" s="6">
        <v>57910</v>
      </c>
      <c r="I84" s="9">
        <v>484577</v>
      </c>
      <c r="K84">
        <f t="shared" si="3"/>
        <v>0.7141625624649357</v>
      </c>
      <c r="L84">
        <f t="shared" si="4"/>
        <v>1</v>
      </c>
      <c r="M84">
        <f t="shared" si="5"/>
        <v>0.7141625624649357</v>
      </c>
    </row>
    <row r="85" spans="1:13" x14ac:dyDescent="0.25">
      <c r="A85" s="5">
        <v>83</v>
      </c>
      <c r="B85" s="6">
        <v>56248</v>
      </c>
      <c r="C85" s="6">
        <v>3507</v>
      </c>
      <c r="D85" s="7">
        <v>0.93765900000000002</v>
      </c>
      <c r="E85" s="7">
        <v>6.2341000000000001E-2</v>
      </c>
      <c r="F85" s="7">
        <v>6.0408000000000003E-2</v>
      </c>
      <c r="G85" s="8">
        <v>7.59</v>
      </c>
      <c r="H85" s="6">
        <v>54513</v>
      </c>
      <c r="I85" s="9">
        <v>426666</v>
      </c>
      <c r="K85">
        <f t="shared" si="3"/>
        <v>0.7001593749656233</v>
      </c>
      <c r="L85">
        <f t="shared" si="4"/>
        <v>1</v>
      </c>
      <c r="M85">
        <f t="shared" si="5"/>
        <v>0.7001593749656233</v>
      </c>
    </row>
    <row r="86" spans="1:13" x14ac:dyDescent="0.25">
      <c r="A86" s="5">
        <v>84</v>
      </c>
      <c r="B86" s="6">
        <v>52742</v>
      </c>
      <c r="C86" s="6">
        <v>3717</v>
      </c>
      <c r="D86" s="7">
        <v>0.92952100000000004</v>
      </c>
      <c r="E86" s="7">
        <v>7.0479E-2</v>
      </c>
      <c r="F86" s="7">
        <v>6.8525000000000003E-2</v>
      </c>
      <c r="G86" s="8">
        <v>7.06</v>
      </c>
      <c r="H86" s="6">
        <v>50900</v>
      </c>
      <c r="I86" s="9">
        <v>372153</v>
      </c>
      <c r="K86">
        <f t="shared" si="3"/>
        <v>0.68643075977021895</v>
      </c>
      <c r="L86">
        <f t="shared" si="4"/>
        <v>1</v>
      </c>
      <c r="M86">
        <f t="shared" si="5"/>
        <v>0.68643075977021895</v>
      </c>
    </row>
    <row r="87" spans="1:13" x14ac:dyDescent="0.25">
      <c r="A87" s="5">
        <v>85</v>
      </c>
      <c r="B87" s="6">
        <v>49025</v>
      </c>
      <c r="C87" s="6">
        <v>3910</v>
      </c>
      <c r="D87" s="7">
        <v>0.92025000000000001</v>
      </c>
      <c r="E87" s="7">
        <v>7.9750000000000001E-2</v>
      </c>
      <c r="F87" s="7">
        <v>7.7868000000000007E-2</v>
      </c>
      <c r="G87" s="8">
        <v>6.55</v>
      </c>
      <c r="H87" s="6">
        <v>47085</v>
      </c>
      <c r="I87" s="9">
        <v>321253</v>
      </c>
      <c r="K87">
        <f t="shared" si="3"/>
        <v>0.67297133310805779</v>
      </c>
      <c r="L87">
        <f t="shared" si="4"/>
        <v>1</v>
      </c>
      <c r="M87">
        <f t="shared" si="5"/>
        <v>0.67297133310805779</v>
      </c>
    </row>
    <row r="88" spans="1:13" x14ac:dyDescent="0.25">
      <c r="A88" s="5">
        <v>86</v>
      </c>
      <c r="B88" s="6">
        <v>45115</v>
      </c>
      <c r="C88" s="6">
        <v>4072</v>
      </c>
      <c r="D88" s="7">
        <v>0.90973499999999996</v>
      </c>
      <c r="E88" s="7">
        <v>9.0264999999999998E-2</v>
      </c>
      <c r="F88" s="7">
        <v>8.8598999999999997E-2</v>
      </c>
      <c r="G88" s="8">
        <v>6.08</v>
      </c>
      <c r="H88" s="6">
        <v>43091</v>
      </c>
      <c r="I88" s="9">
        <v>274169</v>
      </c>
      <c r="K88">
        <f t="shared" si="3"/>
        <v>0.65977581677260566</v>
      </c>
      <c r="L88">
        <f t="shared" si="4"/>
        <v>1</v>
      </c>
      <c r="M88">
        <f t="shared" si="5"/>
        <v>0.65977581677260566</v>
      </c>
    </row>
    <row r="89" spans="1:13" x14ac:dyDescent="0.25">
      <c r="A89" s="5">
        <v>87</v>
      </c>
      <c r="B89" s="6">
        <v>41043</v>
      </c>
      <c r="C89" s="6">
        <v>4192</v>
      </c>
      <c r="D89" s="7">
        <v>0.89787400000000006</v>
      </c>
      <c r="E89" s="7">
        <v>0.10212599999999999</v>
      </c>
      <c r="F89" s="7">
        <v>0.100878</v>
      </c>
      <c r="G89" s="8">
        <v>5.63</v>
      </c>
      <c r="H89" s="6">
        <v>38955</v>
      </c>
      <c r="I89" s="9">
        <v>231078</v>
      </c>
      <c r="K89">
        <f t="shared" si="3"/>
        <v>0.64683903605157411</v>
      </c>
      <c r="L89">
        <f t="shared" si="4"/>
        <v>1</v>
      </c>
      <c r="M89">
        <f t="shared" si="5"/>
        <v>0.64683903605157411</v>
      </c>
    </row>
    <row r="90" spans="1:13" x14ac:dyDescent="0.25">
      <c r="A90" s="5">
        <v>88</v>
      </c>
      <c r="B90" s="6">
        <v>36851</v>
      </c>
      <c r="C90" s="6">
        <v>4253</v>
      </c>
      <c r="D90" s="7">
        <v>0.88458000000000003</v>
      </c>
      <c r="E90" s="7">
        <v>0.11541999999999999</v>
      </c>
      <c r="F90" s="7">
        <v>0.11487</v>
      </c>
      <c r="G90" s="8">
        <v>5.21</v>
      </c>
      <c r="H90" s="6">
        <v>34727</v>
      </c>
      <c r="I90" s="9">
        <v>192123</v>
      </c>
      <c r="K90">
        <f t="shared" si="3"/>
        <v>0.63415591769762181</v>
      </c>
      <c r="L90">
        <f t="shared" si="4"/>
        <v>1</v>
      </c>
      <c r="M90">
        <f t="shared" si="5"/>
        <v>0.63415591769762181</v>
      </c>
    </row>
    <row r="91" spans="1:13" x14ac:dyDescent="0.25">
      <c r="A91" s="5">
        <v>89</v>
      </c>
      <c r="B91" s="6">
        <v>32598</v>
      </c>
      <c r="C91" s="6">
        <v>4245</v>
      </c>
      <c r="D91" s="7">
        <v>0.86978100000000003</v>
      </c>
      <c r="E91" s="7">
        <v>0.130219</v>
      </c>
      <c r="F91" s="7">
        <v>0.130744</v>
      </c>
      <c r="G91" s="8">
        <v>4.83</v>
      </c>
      <c r="H91" s="6">
        <v>30471</v>
      </c>
      <c r="I91" s="9">
        <v>157397</v>
      </c>
      <c r="K91">
        <f t="shared" si="3"/>
        <v>0.62172148793884485</v>
      </c>
      <c r="L91">
        <f t="shared" si="4"/>
        <v>1</v>
      </c>
      <c r="M91">
        <f t="shared" si="5"/>
        <v>0.62172148793884485</v>
      </c>
    </row>
    <row r="92" spans="1:13" x14ac:dyDescent="0.25">
      <c r="A92" s="5">
        <v>90</v>
      </c>
      <c r="B92" s="6">
        <v>28353</v>
      </c>
      <c r="C92" s="6">
        <v>4152</v>
      </c>
      <c r="D92" s="7">
        <v>0.85355400000000003</v>
      </c>
      <c r="E92" s="7">
        <v>0.14644599999999999</v>
      </c>
      <c r="F92" s="7">
        <v>0.14863000000000001</v>
      </c>
      <c r="G92" s="8">
        <v>4.4800000000000004</v>
      </c>
      <c r="H92" s="6">
        <v>26265</v>
      </c>
      <c r="I92" s="9">
        <v>126925</v>
      </c>
      <c r="K92">
        <f t="shared" si="3"/>
        <v>0.60953087052827937</v>
      </c>
      <c r="L92">
        <f t="shared" si="4"/>
        <v>1</v>
      </c>
      <c r="M92">
        <f t="shared" si="5"/>
        <v>0.60953087052827937</v>
      </c>
    </row>
    <row r="93" spans="1:13" x14ac:dyDescent="0.25">
      <c r="A93" s="5">
        <v>91</v>
      </c>
      <c r="B93" s="6">
        <v>24201</v>
      </c>
      <c r="C93" s="6">
        <v>3957</v>
      </c>
      <c r="D93" s="7">
        <v>0.83650500000000005</v>
      </c>
      <c r="E93" s="7">
        <v>0.163495</v>
      </c>
      <c r="F93" s="7">
        <v>0.168244</v>
      </c>
      <c r="G93" s="8">
        <v>4.16</v>
      </c>
      <c r="H93" s="6">
        <v>22202</v>
      </c>
      <c r="I93" s="9">
        <v>100660</v>
      </c>
      <c r="K93">
        <f t="shared" si="3"/>
        <v>0.59757928483164635</v>
      </c>
      <c r="L93">
        <f t="shared" si="4"/>
        <v>1</v>
      </c>
      <c r="M93">
        <f t="shared" si="5"/>
        <v>0.59757928483164635</v>
      </c>
    </row>
    <row r="94" spans="1:13" x14ac:dyDescent="0.25">
      <c r="A94" s="5">
        <v>92</v>
      </c>
      <c r="B94" s="6">
        <v>20244</v>
      </c>
      <c r="C94" s="6">
        <v>3658</v>
      </c>
      <c r="D94" s="7">
        <v>0.81932499999999997</v>
      </c>
      <c r="E94" s="7">
        <v>0.180675</v>
      </c>
      <c r="F94" s="7">
        <v>0.18883</v>
      </c>
      <c r="G94" s="8">
        <v>3.88</v>
      </c>
      <c r="H94" s="6">
        <v>18386</v>
      </c>
      <c r="I94" s="9">
        <v>78459</v>
      </c>
      <c r="K94">
        <f t="shared" si="3"/>
        <v>0.58586204395259456</v>
      </c>
      <c r="L94">
        <f t="shared" si="4"/>
        <v>1</v>
      </c>
      <c r="M94">
        <f t="shared" si="5"/>
        <v>0.58586204395259456</v>
      </c>
    </row>
    <row r="95" spans="1:13" x14ac:dyDescent="0.25">
      <c r="A95" s="5">
        <v>93</v>
      </c>
      <c r="B95" s="6">
        <v>16586</v>
      </c>
      <c r="C95" s="6">
        <v>3276</v>
      </c>
      <c r="D95" s="7">
        <v>0.80251499999999998</v>
      </c>
      <c r="E95" s="7">
        <v>0.19748499999999999</v>
      </c>
      <c r="F95" s="7">
        <v>0.209644</v>
      </c>
      <c r="G95" s="8">
        <v>3.62</v>
      </c>
      <c r="H95" s="6">
        <v>14914</v>
      </c>
      <c r="I95" s="9">
        <v>60072</v>
      </c>
      <c r="K95">
        <f t="shared" si="3"/>
        <v>0.57437455289470041</v>
      </c>
      <c r="L95">
        <f t="shared" si="4"/>
        <v>1</v>
      </c>
      <c r="M95">
        <f t="shared" si="5"/>
        <v>0.57437455289470041</v>
      </c>
    </row>
    <row r="96" spans="1:13" x14ac:dyDescent="0.25">
      <c r="A96" s="5">
        <v>94</v>
      </c>
      <c r="B96" s="6">
        <v>13311</v>
      </c>
      <c r="C96" s="6">
        <v>2848</v>
      </c>
      <c r="D96" s="7">
        <v>0.78600400000000004</v>
      </c>
      <c r="E96" s="7">
        <v>0.21399599999999999</v>
      </c>
      <c r="F96" s="7">
        <v>0.23039000000000001</v>
      </c>
      <c r="G96" s="8">
        <v>3.39</v>
      </c>
      <c r="H96" s="6">
        <v>11850</v>
      </c>
      <c r="I96" s="9">
        <v>45158</v>
      </c>
      <c r="K96">
        <f t="shared" si="3"/>
        <v>0.56311230675951029</v>
      </c>
      <c r="L96">
        <f t="shared" si="4"/>
        <v>1</v>
      </c>
      <c r="M96">
        <f t="shared" si="5"/>
        <v>0.56311230675951029</v>
      </c>
    </row>
    <row r="97" spans="1:13" x14ac:dyDescent="0.25">
      <c r="A97" s="5">
        <v>95</v>
      </c>
      <c r="B97" s="6">
        <v>10462</v>
      </c>
      <c r="C97" s="6">
        <v>2411</v>
      </c>
      <c r="D97" s="7">
        <v>0.76960300000000004</v>
      </c>
      <c r="E97" s="7">
        <v>0.23039699999999999</v>
      </c>
      <c r="F97" s="7">
        <v>0.25129400000000002</v>
      </c>
      <c r="G97" s="8">
        <v>3.18</v>
      </c>
      <c r="H97" s="6">
        <v>9221</v>
      </c>
      <c r="I97" s="9">
        <v>33308</v>
      </c>
      <c r="K97">
        <f t="shared" si="3"/>
        <v>0.55207088897991197</v>
      </c>
      <c r="L97">
        <f t="shared" si="4"/>
        <v>0.76960300000000004</v>
      </c>
      <c r="M97">
        <f t="shared" si="5"/>
        <v>0.4248754123716072</v>
      </c>
    </row>
    <row r="98" spans="1:13" x14ac:dyDescent="0.25">
      <c r="A98" s="5">
        <v>96</v>
      </c>
      <c r="B98" s="6">
        <v>8052</v>
      </c>
      <c r="C98" s="6">
        <v>1988</v>
      </c>
      <c r="D98" s="7">
        <v>0.75314400000000004</v>
      </c>
      <c r="E98" s="7">
        <v>0.24685599999999999</v>
      </c>
      <c r="F98" s="7">
        <v>0.27259499999999998</v>
      </c>
      <c r="G98" s="8">
        <v>2.99</v>
      </c>
      <c r="H98" s="6">
        <v>7024</v>
      </c>
      <c r="I98" s="9">
        <v>24087</v>
      </c>
      <c r="K98">
        <f t="shared" si="3"/>
        <v>0.54124596958814919</v>
      </c>
      <c r="L98">
        <f t="shared" si="4"/>
        <v>0.75314400000000004</v>
      </c>
      <c r="M98">
        <f t="shared" si="5"/>
        <v>0.40763615451949703</v>
      </c>
    </row>
    <row r="99" spans="1:13" x14ac:dyDescent="0.25">
      <c r="A99" s="5">
        <v>97</v>
      </c>
      <c r="B99" s="6">
        <v>6064</v>
      </c>
      <c r="C99" s="6">
        <v>1600</v>
      </c>
      <c r="D99" s="7">
        <v>0.73619600000000007</v>
      </c>
      <c r="E99" s="7">
        <v>0.26380399999999998</v>
      </c>
      <c r="F99" s="7">
        <v>0.29467599999999999</v>
      </c>
      <c r="G99" s="8">
        <v>2.81</v>
      </c>
      <c r="H99" s="6">
        <v>5234</v>
      </c>
      <c r="I99" s="9">
        <v>17063</v>
      </c>
      <c r="K99">
        <f t="shared" si="3"/>
        <v>0.53063330351779314</v>
      </c>
      <c r="L99">
        <f t="shared" si="4"/>
        <v>0.73619600000000007</v>
      </c>
      <c r="M99">
        <f t="shared" si="5"/>
        <v>0.39065011551658529</v>
      </c>
    </row>
    <row r="100" spans="1:13" x14ac:dyDescent="0.25">
      <c r="A100" s="5">
        <v>98</v>
      </c>
      <c r="B100" s="6">
        <v>4464</v>
      </c>
      <c r="C100" s="6">
        <v>1258</v>
      </c>
      <c r="D100" s="7">
        <v>0.71828999999999998</v>
      </c>
      <c r="E100" s="7">
        <v>0.28171000000000002</v>
      </c>
      <c r="F100" s="7">
        <v>0.318301</v>
      </c>
      <c r="G100" s="8">
        <v>2.65</v>
      </c>
      <c r="H100" s="6">
        <v>3809</v>
      </c>
      <c r="I100" s="9">
        <v>11829</v>
      </c>
      <c r="K100">
        <f t="shared" si="3"/>
        <v>0.52022872893901284</v>
      </c>
      <c r="L100">
        <f t="shared" si="4"/>
        <v>0.71828999999999998</v>
      </c>
      <c r="M100">
        <f t="shared" si="5"/>
        <v>0.3736750937096035</v>
      </c>
    </row>
    <row r="101" spans="1:13" x14ac:dyDescent="0.25">
      <c r="A101" s="5">
        <v>99</v>
      </c>
      <c r="B101" s="6">
        <v>3207</v>
      </c>
      <c r="C101" s="6">
        <v>962</v>
      </c>
      <c r="D101" s="7">
        <v>0.70000600000000002</v>
      </c>
      <c r="E101" s="7">
        <v>0.29999399999999998</v>
      </c>
      <c r="F101" s="7">
        <v>0.34365200000000001</v>
      </c>
      <c r="G101" s="8">
        <v>2.5</v>
      </c>
      <c r="H101" s="6">
        <v>2703</v>
      </c>
      <c r="I101" s="9">
        <v>8020</v>
      </c>
      <c r="K101">
        <f t="shared" si="3"/>
        <v>0.51002816562648323</v>
      </c>
      <c r="L101">
        <f t="shared" si="4"/>
        <v>0.70000600000000002</v>
      </c>
      <c r="M101">
        <f t="shared" si="5"/>
        <v>0.35702277610753202</v>
      </c>
    </row>
    <row r="102" spans="1:13" x14ac:dyDescent="0.25">
      <c r="A102" s="5">
        <v>100</v>
      </c>
      <c r="B102" s="6">
        <v>2245</v>
      </c>
      <c r="C102" s="6">
        <v>714</v>
      </c>
      <c r="D102" s="7">
        <v>0.68195399999999995</v>
      </c>
      <c r="E102" s="7">
        <v>0.318046</v>
      </c>
      <c r="F102" s="7">
        <v>0.36978100000000003</v>
      </c>
      <c r="G102" s="8">
        <v>2.37</v>
      </c>
      <c r="H102" s="6">
        <v>1869</v>
      </c>
      <c r="I102" s="9">
        <v>5317</v>
      </c>
      <c r="K102">
        <f t="shared" si="3"/>
        <v>0.50002761335929735</v>
      </c>
      <c r="L102">
        <f t="shared" si="4"/>
        <v>0.68195399999999995</v>
      </c>
      <c r="M102">
        <f t="shared" si="5"/>
        <v>0.34099583104082626</v>
      </c>
    </row>
    <row r="103" spans="1:13" x14ac:dyDescent="0.25">
      <c r="A103" s="5">
        <v>101</v>
      </c>
      <c r="B103" s="6">
        <v>1531</v>
      </c>
      <c r="C103" s="6">
        <v>513</v>
      </c>
      <c r="D103" s="7">
        <v>0.66479599999999994</v>
      </c>
      <c r="E103" s="7">
        <v>0.335204</v>
      </c>
      <c r="F103" s="7">
        <v>0.39578600000000003</v>
      </c>
      <c r="G103" s="8">
        <v>2.25</v>
      </c>
      <c r="H103" s="6">
        <v>1259</v>
      </c>
      <c r="I103" s="9">
        <v>3448</v>
      </c>
      <c r="K103">
        <f t="shared" si="3"/>
        <v>0.49022315035225233</v>
      </c>
      <c r="L103">
        <f t="shared" si="4"/>
        <v>0.66479599999999994</v>
      </c>
      <c r="M103">
        <f t="shared" si="5"/>
        <v>0.3258983894615759</v>
      </c>
    </row>
    <row r="104" spans="1:13" x14ac:dyDescent="0.25">
      <c r="A104" s="5">
        <v>102</v>
      </c>
      <c r="B104" s="6">
        <v>1018</v>
      </c>
      <c r="C104" s="6">
        <v>357</v>
      </c>
      <c r="D104" s="7">
        <v>0.64922900000000006</v>
      </c>
      <c r="E104" s="7">
        <v>0.350771</v>
      </c>
      <c r="F104" s="7">
        <v>0.42050700000000002</v>
      </c>
      <c r="G104" s="8">
        <v>2.15</v>
      </c>
      <c r="H104" s="6">
        <v>828</v>
      </c>
      <c r="I104" s="9">
        <v>2188</v>
      </c>
      <c r="K104">
        <f t="shared" si="3"/>
        <v>0.48061093171789437</v>
      </c>
      <c r="L104">
        <f t="shared" si="4"/>
        <v>0.64922900000000006</v>
      </c>
      <c r="M104">
        <f t="shared" si="5"/>
        <v>0.31202655458827688</v>
      </c>
    </row>
    <row r="105" spans="1:13" x14ac:dyDescent="0.25">
      <c r="A105" s="5">
        <v>103</v>
      </c>
      <c r="B105" s="6">
        <v>661</v>
      </c>
      <c r="C105" s="6">
        <v>242</v>
      </c>
      <c r="D105" s="7">
        <v>0.63444800000000001</v>
      </c>
      <c r="E105" s="7">
        <v>0.36555199999999999</v>
      </c>
      <c r="F105" s="7">
        <v>0.44361499999999998</v>
      </c>
      <c r="G105" s="8">
        <v>2.06</v>
      </c>
      <c r="H105" s="6">
        <v>532</v>
      </c>
      <c r="I105" s="9">
        <v>1360</v>
      </c>
      <c r="K105">
        <f t="shared" si="3"/>
        <v>0.47118718795871989</v>
      </c>
      <c r="L105">
        <f t="shared" si="4"/>
        <v>0.63444800000000001</v>
      </c>
      <c r="M105">
        <f t="shared" si="5"/>
        <v>0.29894376902603392</v>
      </c>
    </row>
    <row r="106" spans="1:13" x14ac:dyDescent="0.25">
      <c r="A106" s="5">
        <v>104</v>
      </c>
      <c r="B106" s="6">
        <v>419</v>
      </c>
      <c r="C106" s="6">
        <v>159</v>
      </c>
      <c r="D106" s="7">
        <v>0.62037199999999992</v>
      </c>
      <c r="E106" s="7">
        <v>0.37962800000000002</v>
      </c>
      <c r="F106" s="7">
        <v>0.46626699999999999</v>
      </c>
      <c r="G106" s="8">
        <v>1.98</v>
      </c>
      <c r="H106" s="6">
        <v>334</v>
      </c>
      <c r="I106" s="9">
        <v>829</v>
      </c>
      <c r="K106">
        <f t="shared" si="3"/>
        <v>0.46194822348894127</v>
      </c>
      <c r="L106">
        <f t="shared" si="4"/>
        <v>0.62037199999999992</v>
      </c>
      <c r="M106">
        <f t="shared" si="5"/>
        <v>0.28657974330228142</v>
      </c>
    </row>
    <row r="107" spans="1:13" x14ac:dyDescent="0.25">
      <c r="A107" s="5">
        <v>105</v>
      </c>
      <c r="B107" s="6">
        <v>260</v>
      </c>
      <c r="C107" s="6">
        <v>102</v>
      </c>
      <c r="D107" s="7">
        <v>0.60697699999999999</v>
      </c>
      <c r="E107" s="7">
        <v>0.39302300000000001</v>
      </c>
      <c r="F107" s="7">
        <v>0.48830600000000002</v>
      </c>
      <c r="G107" s="8">
        <v>1.9</v>
      </c>
      <c r="H107" s="6">
        <v>205</v>
      </c>
      <c r="I107" s="9">
        <v>495</v>
      </c>
      <c r="K107">
        <f t="shared" si="3"/>
        <v>0.45289041518523643</v>
      </c>
      <c r="L107">
        <f t="shared" si="4"/>
        <v>0.60697699999999999</v>
      </c>
      <c r="M107">
        <f t="shared" si="5"/>
        <v>0.27489406553788925</v>
      </c>
    </row>
    <row r="108" spans="1:13" x14ac:dyDescent="0.25">
      <c r="A108" s="5">
        <v>106</v>
      </c>
      <c r="B108" s="6">
        <v>158</v>
      </c>
      <c r="C108" s="6">
        <v>64</v>
      </c>
      <c r="D108" s="7">
        <v>0.59423700000000002</v>
      </c>
      <c r="E108" s="7">
        <v>0.40576299999999998</v>
      </c>
      <c r="F108" s="7">
        <v>0.50970099999999996</v>
      </c>
      <c r="G108" s="8">
        <v>1.83</v>
      </c>
      <c r="H108" s="6">
        <v>123</v>
      </c>
      <c r="I108" s="9">
        <v>290</v>
      </c>
      <c r="K108">
        <f t="shared" si="3"/>
        <v>0.44401021096591808</v>
      </c>
      <c r="L108">
        <f t="shared" si="4"/>
        <v>0.59423700000000002</v>
      </c>
      <c r="M108">
        <f t="shared" si="5"/>
        <v>0.26384729573375426</v>
      </c>
    </row>
    <row r="109" spans="1:13" x14ac:dyDescent="0.25">
      <c r="A109" s="5">
        <v>107</v>
      </c>
      <c r="B109" s="6">
        <v>94</v>
      </c>
      <c r="C109" s="6">
        <v>39</v>
      </c>
      <c r="D109" s="7">
        <v>0.58212599999999992</v>
      </c>
      <c r="E109" s="7">
        <v>0.41787400000000002</v>
      </c>
      <c r="F109" s="7">
        <v>0.53044400000000003</v>
      </c>
      <c r="G109" s="8">
        <v>1.77</v>
      </c>
      <c r="H109" s="6">
        <v>73</v>
      </c>
      <c r="I109" s="9">
        <v>166</v>
      </c>
      <c r="K109">
        <f t="shared" si="3"/>
        <v>0.4353041283979589</v>
      </c>
      <c r="L109">
        <f t="shared" si="4"/>
        <v>0.58212599999999992</v>
      </c>
      <c r="M109">
        <f t="shared" si="5"/>
        <v>0.25340185104779017</v>
      </c>
    </row>
    <row r="110" spans="1:13" x14ac:dyDescent="0.25">
      <c r="A110" s="5">
        <v>108</v>
      </c>
      <c r="B110" s="6">
        <v>55</v>
      </c>
      <c r="C110" s="6">
        <v>23</v>
      </c>
      <c r="D110" s="7">
        <v>0.57062000000000002</v>
      </c>
      <c r="E110" s="7">
        <v>0.42937999999999998</v>
      </c>
      <c r="F110" s="7">
        <v>0.55052599999999996</v>
      </c>
      <c r="G110" s="8">
        <v>1.72</v>
      </c>
      <c r="H110" s="6">
        <v>42</v>
      </c>
      <c r="I110" s="9">
        <v>94</v>
      </c>
      <c r="K110">
        <f t="shared" si="3"/>
        <v>0.4267687533313323</v>
      </c>
      <c r="L110">
        <f t="shared" si="4"/>
        <v>0.57062000000000002</v>
      </c>
      <c r="M110">
        <f t="shared" si="5"/>
        <v>0.24352278602592484</v>
      </c>
    </row>
    <row r="111" spans="1:13" x14ac:dyDescent="0.25">
      <c r="A111" s="10">
        <v>109</v>
      </c>
      <c r="B111" s="11">
        <v>31</v>
      </c>
      <c r="C111" s="11">
        <v>14</v>
      </c>
      <c r="D111" s="12">
        <v>0.559693</v>
      </c>
      <c r="E111" s="12">
        <v>0.440307</v>
      </c>
      <c r="F111" s="12">
        <v>0.56993899999999997</v>
      </c>
      <c r="G111" s="13">
        <v>1.67</v>
      </c>
      <c r="H111" s="11">
        <v>24</v>
      </c>
      <c r="I111" s="14">
        <v>52</v>
      </c>
      <c r="K111">
        <f t="shared" si="3"/>
        <v>0.41840073856012966</v>
      </c>
      <c r="L111">
        <f t="shared" si="4"/>
        <v>0.559693</v>
      </c>
      <c r="M111">
        <f t="shared" si="5"/>
        <v>0.23417596456693465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 Male Life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Furlan</dc:creator>
  <cp:lastModifiedBy>Tim Furlan</cp:lastModifiedBy>
  <dcterms:created xsi:type="dcterms:W3CDTF">2025-10-29T06:07:19Z</dcterms:created>
  <dcterms:modified xsi:type="dcterms:W3CDTF">2025-11-03T04:37:24Z</dcterms:modified>
</cp:coreProperties>
</file>